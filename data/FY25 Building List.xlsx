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ckinson0.sharepoint.com/sites/FMShared/Shared Documents/General/shared/Building Info/Building Lists/"/>
    </mc:Choice>
  </mc:AlternateContent>
  <xr:revisionPtr revIDLastSave="171" documentId="8_{F901357A-2E94-44DB-A2C3-E16854165497}" xr6:coauthVersionLast="47" xr6:coauthVersionMax="47" xr10:uidLastSave="{8C7359FC-F466-4995-8648-C5F9924847A3}"/>
  <bookViews>
    <workbookView xWindow="-120" yWindow="-120" windowWidth="29040" windowHeight="15720" xr2:uid="{00000000-000D-0000-FFFF-FFFF00000000}"/>
  </bookViews>
  <sheets>
    <sheet name="By Building Type" sheetId="1" r:id="rId1"/>
    <sheet name="Sheet1" sheetId="2" r:id="rId2"/>
  </sheets>
  <definedNames>
    <definedName name="_xlnm.Print_Area" localSheetId="0">'By Building Type'!$A$5:$M$160</definedName>
    <definedName name="_xlnm.Print_Titles" localSheetId="0">'By Building Type'!$5:$5</definedName>
    <definedName name="_xlnm.Print_Titles" localSheetId="1">Sheet1!$1:$1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H27" i="1"/>
  <c r="H128" i="1"/>
  <c r="H123" i="1"/>
  <c r="I117" i="1"/>
  <c r="H117" i="1"/>
  <c r="I157" i="1"/>
  <c r="H141" i="1"/>
  <c r="I141" i="1"/>
  <c r="L141" i="1"/>
  <c r="K126" i="1"/>
  <c r="H53" i="1"/>
  <c r="K20" i="1"/>
  <c r="K107" i="1"/>
  <c r="K113" i="1"/>
  <c r="K114" i="1"/>
  <c r="K115" i="1"/>
  <c r="K45" i="1" l="1"/>
  <c r="L157" i="1" l="1"/>
  <c r="M157" i="1" s="1"/>
  <c r="L151" i="1"/>
  <c r="I151" i="1" l="1"/>
  <c r="M151" i="1" l="1"/>
  <c r="K7" i="1"/>
  <c r="L147" i="1" l="1"/>
  <c r="L44" i="1"/>
  <c r="L29" i="1"/>
  <c r="L27" i="1"/>
  <c r="L30" i="1" l="1"/>
  <c r="L159" i="1" l="1"/>
  <c r="I104" i="1"/>
  <c r="I118" i="1" s="1"/>
  <c r="K84" i="1"/>
  <c r="K138" i="1" l="1"/>
  <c r="I128" i="1" l="1"/>
  <c r="I29" i="1"/>
  <c r="M29" i="1" s="1"/>
  <c r="M27" i="1"/>
  <c r="H157" i="1" l="1"/>
  <c r="H29" i="1" l="1"/>
  <c r="K105" i="1" l="1"/>
  <c r="H145" i="1" l="1"/>
  <c r="H104" i="1" l="1"/>
  <c r="M141" i="1" l="1"/>
  <c r="H151" i="1" l="1"/>
  <c r="H118" i="1" l="1"/>
  <c r="I123" i="1" l="1"/>
  <c r="I129" i="1" s="1"/>
  <c r="H129" i="1"/>
  <c r="H147" i="1"/>
  <c r="K143" i="1" l="1"/>
  <c r="K65" i="1"/>
  <c r="K142" i="1" l="1"/>
  <c r="K37" i="1" l="1"/>
  <c r="K156" i="1"/>
  <c r="K155" i="1"/>
  <c r="K154" i="1"/>
  <c r="K153" i="1"/>
  <c r="K47" i="1"/>
  <c r="K152" i="1"/>
  <c r="K150" i="1"/>
  <c r="K102" i="1"/>
  <c r="K146" i="1"/>
  <c r="K145" i="1"/>
  <c r="K144" i="1"/>
  <c r="K139" i="1"/>
  <c r="K137" i="1"/>
  <c r="K136" i="1"/>
  <c r="K134" i="1"/>
  <c r="K133" i="1"/>
  <c r="K132" i="1"/>
  <c r="K131" i="1"/>
  <c r="K140" i="1"/>
  <c r="K135" i="1"/>
  <c r="K10" i="1"/>
  <c r="K122" i="1"/>
  <c r="K149" i="1"/>
  <c r="K148" i="1"/>
  <c r="K121" i="1"/>
  <c r="K31" i="1"/>
  <c r="K119" i="1"/>
  <c r="K116" i="1"/>
  <c r="K117" i="1" s="1"/>
  <c r="K124" i="1"/>
  <c r="K128" i="1" s="1"/>
  <c r="K103" i="1"/>
  <c r="K101" i="1"/>
  <c r="K100" i="1"/>
  <c r="K99" i="1"/>
  <c r="K98" i="1"/>
  <c r="K97" i="1"/>
  <c r="K96" i="1"/>
  <c r="K95" i="1"/>
  <c r="K94" i="1"/>
  <c r="K93" i="1"/>
  <c r="K55" i="1"/>
  <c r="K53" i="1"/>
  <c r="K92" i="1"/>
  <c r="K91" i="1"/>
  <c r="K90" i="1"/>
  <c r="K89" i="1"/>
  <c r="K88" i="1"/>
  <c r="K87" i="1"/>
  <c r="K86" i="1"/>
  <c r="K85" i="1"/>
  <c r="K50" i="1"/>
  <c r="K83" i="1"/>
  <c r="K82" i="1"/>
  <c r="K52" i="1"/>
  <c r="K51" i="1"/>
  <c r="K81" i="1"/>
  <c r="K80" i="1"/>
  <c r="K79" i="1"/>
  <c r="K78" i="1"/>
  <c r="K77" i="1"/>
  <c r="K76" i="1"/>
  <c r="K75" i="1"/>
  <c r="K74" i="1"/>
  <c r="K73" i="1"/>
  <c r="K35" i="1"/>
  <c r="K34" i="1"/>
  <c r="K72" i="1"/>
  <c r="K71" i="1"/>
  <c r="K70" i="1"/>
  <c r="K69" i="1"/>
  <c r="K68" i="1"/>
  <c r="K67" i="1"/>
  <c r="K66" i="1"/>
  <c r="K64" i="1"/>
  <c r="K63" i="1"/>
  <c r="K62" i="1"/>
  <c r="K61" i="1"/>
  <c r="K60" i="1"/>
  <c r="K59" i="1"/>
  <c r="K58" i="1"/>
  <c r="K120" i="1"/>
  <c r="K56" i="1"/>
  <c r="K54" i="1"/>
  <c r="K49" i="1"/>
  <c r="K48" i="1"/>
  <c r="K46" i="1"/>
  <c r="K43" i="1"/>
  <c r="K42" i="1"/>
  <c r="K41" i="1"/>
  <c r="K40" i="1"/>
  <c r="K39" i="1"/>
  <c r="K38" i="1"/>
  <c r="K33" i="1"/>
  <c r="K32" i="1"/>
  <c r="K28" i="1"/>
  <c r="K29" i="1" s="1"/>
  <c r="K26" i="1"/>
  <c r="K25" i="1"/>
  <c r="K24" i="1"/>
  <c r="K23" i="1"/>
  <c r="K22" i="1"/>
  <c r="K21" i="1"/>
  <c r="K18" i="1"/>
  <c r="K17" i="1"/>
  <c r="K16" i="1"/>
  <c r="K15" i="1"/>
  <c r="K14" i="1"/>
  <c r="K13" i="1"/>
  <c r="K12" i="1"/>
  <c r="K11" i="1"/>
  <c r="K9" i="1"/>
  <c r="K8" i="1"/>
  <c r="K57" i="1"/>
  <c r="K6" i="1"/>
  <c r="I147" i="1"/>
  <c r="K123" i="1" l="1"/>
  <c r="K129" i="1" s="1"/>
  <c r="M147" i="1"/>
  <c r="K147" i="1"/>
  <c r="K141" i="1"/>
  <c r="K151" i="1"/>
  <c r="K157" i="1"/>
  <c r="K104" i="1"/>
  <c r="K118" i="1" l="1"/>
  <c r="H182" i="1"/>
  <c r="H173" i="1"/>
  <c r="H175" i="1" s="1"/>
  <c r="K19" i="1" l="1"/>
  <c r="K27" i="1" s="1"/>
  <c r="I30" i="1" l="1"/>
  <c r="H36" i="1"/>
  <c r="I44" i="1" s="1"/>
  <c r="M44" i="1" s="1"/>
  <c r="I159" i="1" l="1"/>
  <c r="M159" i="1" s="1"/>
  <c r="M30" i="1"/>
  <c r="H44" i="1"/>
  <c r="K36" i="1"/>
  <c r="H179" i="1"/>
  <c r="H185" i="1" s="1"/>
  <c r="H30" i="1"/>
  <c r="K30" i="1"/>
  <c r="H159" i="1" l="1"/>
  <c r="K44" i="1"/>
  <c r="K159" i="1" s="1"/>
  <c r="K161" i="1" l="1"/>
</calcChain>
</file>

<file path=xl/sharedStrings.xml><?xml version="1.0" encoding="utf-8"?>
<sst xmlns="http://schemas.openxmlformats.org/spreadsheetml/2006/main" count="1228" uniqueCount="570">
  <si>
    <t>Dickinson College</t>
  </si>
  <si>
    <t>Facilities Management Department</t>
  </si>
  <si>
    <t>FY25 Building Inventory</t>
  </si>
  <si>
    <t>As of Aug 2024</t>
  </si>
  <si>
    <t>BANNER CODE</t>
  </si>
  <si>
    <t>NAME</t>
  </si>
  <si>
    <t>TYPE</t>
  </si>
  <si>
    <t>DEPARMENT / OCCUPENTS</t>
  </si>
  <si>
    <t>PHYSICAL ADDRESS</t>
  </si>
  <si>
    <t>CONST. DATE</t>
  </si>
  <si>
    <t>DATE    ACQD/ RENO</t>
  </si>
  <si>
    <t>SF</t>
  </si>
  <si>
    <t>Building Count</t>
  </si>
  <si>
    <t>Accessible</t>
  </si>
  <si>
    <t>Single Use/Gender Inclusive</t>
  </si>
  <si>
    <t>1110</t>
  </si>
  <si>
    <t>162-164  Dickinson Ave.</t>
  </si>
  <si>
    <t>Academic</t>
  </si>
  <si>
    <t>DEAL Archeology Labs</t>
  </si>
  <si>
    <t>162-164 Dickinson Ave.</t>
  </si>
  <si>
    <t>&gt;50</t>
  </si>
  <si>
    <t>1998 / Reno 2010</t>
  </si>
  <si>
    <t>1540</t>
  </si>
  <si>
    <t>46 S. West St.</t>
  </si>
  <si>
    <t>Music office/rehearsal space</t>
  </si>
  <si>
    <t>1035</t>
  </si>
  <si>
    <t>57 S. College</t>
  </si>
  <si>
    <t>Education Dept. Offices</t>
  </si>
  <si>
    <t>57 S. College St.</t>
  </si>
  <si>
    <t>1005</t>
  </si>
  <si>
    <t xml:space="preserve">Althouse </t>
  </si>
  <si>
    <t>IBM, African Studies</t>
  </si>
  <si>
    <t>261 W. Louther St.</t>
  </si>
  <si>
    <t>Reno 2009</t>
  </si>
  <si>
    <t>1090</t>
  </si>
  <si>
    <t>Biddle House</t>
  </si>
  <si>
    <t>Registrar, Career Center, Advising</t>
  </si>
  <si>
    <t>8 N. College St.</t>
  </si>
  <si>
    <t>1010</t>
  </si>
  <si>
    <t>Bosler</t>
  </si>
  <si>
    <t>Foreign Languages</t>
  </si>
  <si>
    <t>201 W. High St.</t>
  </si>
  <si>
    <t>Reno 1940</t>
  </si>
  <si>
    <t>1015</t>
  </si>
  <si>
    <t xml:space="preserve">Clarke Center </t>
  </si>
  <si>
    <t>Clark Center/CCLA</t>
  </si>
  <si>
    <t>249-255 W. Louther St.</t>
  </si>
  <si>
    <t>&gt;100</t>
  </si>
  <si>
    <t>1095</t>
  </si>
  <si>
    <t xml:space="preserve">Cook House </t>
  </si>
  <si>
    <t>Center for the Future of Native Peoples</t>
  </si>
  <si>
    <t>239 W. Louther St.</t>
  </si>
  <si>
    <t>1020</t>
  </si>
  <si>
    <t xml:space="preserve">Dana </t>
  </si>
  <si>
    <t>OFFLINE</t>
  </si>
  <si>
    <t>277 W. Louther St.</t>
  </si>
  <si>
    <t>-</t>
  </si>
  <si>
    <t>1025</t>
  </si>
  <si>
    <t xml:space="preserve">Denny Hall </t>
  </si>
  <si>
    <t>Social Sciences</t>
  </si>
  <si>
    <t>199 W. High St.</t>
  </si>
  <si>
    <t>Reno 1984</t>
  </si>
  <si>
    <t>1030</t>
  </si>
  <si>
    <t xml:space="preserve">East College </t>
  </si>
  <si>
    <t>Humanities</t>
  </si>
  <si>
    <t xml:space="preserve">50 N. West St. </t>
  </si>
  <si>
    <t>Reno 2019</t>
  </si>
  <si>
    <t>1040</t>
  </si>
  <si>
    <t>Goodyear Arts Studio</t>
  </si>
  <si>
    <t xml:space="preserve">Fine Arts </t>
  </si>
  <si>
    <t>559 W. Louther St.</t>
  </si>
  <si>
    <t>1979 / Reno 2000</t>
  </si>
  <si>
    <t>1810</t>
  </si>
  <si>
    <t>Green Valley Sanctuary</t>
  </si>
  <si>
    <t>Research Facility</t>
  </si>
  <si>
    <t>&lt;50</t>
  </si>
  <si>
    <t>1685</t>
  </si>
  <si>
    <t>Kaufman Hall</t>
  </si>
  <si>
    <t>Geology, EnviSci, ALLARM, CSE, Psychology</t>
  </si>
  <si>
    <t>400 W. North / 145 Cherry St.</t>
  </si>
  <si>
    <t>2004 / Reno 2007</t>
  </si>
  <si>
    <t>1432</t>
  </si>
  <si>
    <t>Keck Archeology Lab</t>
  </si>
  <si>
    <t>Archeology</t>
  </si>
  <si>
    <t>169 W. High St.</t>
  </si>
  <si>
    <t>&gt;75</t>
  </si>
  <si>
    <t>1060</t>
  </si>
  <si>
    <t>Montgomery House</t>
  </si>
  <si>
    <t>Theatre and Dance</t>
  </si>
  <si>
    <t xml:space="preserve">324 W. Louther St. </t>
  </si>
  <si>
    <t>1950 / Reno 2002</t>
  </si>
  <si>
    <t>1045</t>
  </si>
  <si>
    <t>Rector Science Center</t>
  </si>
  <si>
    <t>Biology, Psychology, Chemistry, Neuroscience, Biochemistry, Molecular biology</t>
  </si>
  <si>
    <t>301 W. Louther St.</t>
  </si>
  <si>
    <t>1065</t>
  </si>
  <si>
    <t xml:space="preserve">Stern Center </t>
  </si>
  <si>
    <t>Global Education</t>
  </si>
  <si>
    <t>208 W. Louther St.</t>
  </si>
  <si>
    <t>Reno 2001</t>
  </si>
  <si>
    <t>1070</t>
  </si>
  <si>
    <t xml:space="preserve">Tome </t>
  </si>
  <si>
    <t>Physics, Astronomy, Math, Computer Science</t>
  </si>
  <si>
    <t>343 W. Louther St.</t>
  </si>
  <si>
    <t>1075</t>
  </si>
  <si>
    <t>Waidner Spahr Library</t>
  </si>
  <si>
    <t>LIS</t>
  </si>
  <si>
    <t xml:space="preserve">333 W. High St. </t>
  </si>
  <si>
    <t>1967/1998</t>
  </si>
  <si>
    <t>1080</t>
  </si>
  <si>
    <t xml:space="preserve">Weiss Center </t>
  </si>
  <si>
    <t>Fine Arts, Music</t>
  </si>
  <si>
    <t>240 W. High St.</t>
  </si>
  <si>
    <t>Reno 1983</t>
  </si>
  <si>
    <t>Subtotal Academic</t>
  </si>
  <si>
    <t>1665</t>
  </si>
  <si>
    <t>Carlisle Theatre</t>
  </si>
  <si>
    <t>Academic/Rental</t>
  </si>
  <si>
    <t>Cubiculo</t>
  </si>
  <si>
    <t>44 W. High St.</t>
  </si>
  <si>
    <t>Reno 1997</t>
  </si>
  <si>
    <t>Subtotal Academic/Rental</t>
  </si>
  <si>
    <t>TOTAL ACADEMIC</t>
  </si>
  <si>
    <t>1275</t>
  </si>
  <si>
    <t>41 Conway St.</t>
  </si>
  <si>
    <t>Administration</t>
  </si>
  <si>
    <t>Title IX</t>
  </si>
  <si>
    <t>?</t>
  </si>
  <si>
    <t>1999</t>
  </si>
  <si>
    <t>5 N. Orange St.</t>
  </si>
  <si>
    <t>Facilities Management, Print Center, CASE</t>
  </si>
  <si>
    <t>1085</t>
  </si>
  <si>
    <t>50 Mooreland Ave.</t>
  </si>
  <si>
    <t>College Relations, Development</t>
  </si>
  <si>
    <t>1585</t>
  </si>
  <si>
    <t>554 W. Louther St.</t>
  </si>
  <si>
    <t xml:space="preserve">ROTC Offices </t>
  </si>
  <si>
    <t>1984 / Reno 2017</t>
  </si>
  <si>
    <t>1590</t>
  </si>
  <si>
    <t>556 W. Louther St.</t>
  </si>
  <si>
    <t>ROTC Offices</t>
  </si>
  <si>
    <t>1987 / Reno 2017</t>
  </si>
  <si>
    <t>Public Safety</t>
  </si>
  <si>
    <t>400 W. North / 145 Cherry</t>
  </si>
  <si>
    <t>Facilities Management Storage</t>
  </si>
  <si>
    <t>400 W. North St.</t>
  </si>
  <si>
    <t>1120</t>
  </si>
  <si>
    <t>Old West</t>
  </si>
  <si>
    <t>President's Office, Finance &amp; Administration, Provost, Legal, Disability Services</t>
  </si>
  <si>
    <t>230 W. Louther St.</t>
  </si>
  <si>
    <t>1130</t>
  </si>
  <si>
    <t>Rand House</t>
  </si>
  <si>
    <t>Human Resources</t>
  </si>
  <si>
    <t>55 N. West St.</t>
  </si>
  <si>
    <t>1140</t>
  </si>
  <si>
    <t xml:space="preserve">South College Annex </t>
  </si>
  <si>
    <t>IT Storage</t>
  </si>
  <si>
    <t>218 W. Church Ave.</t>
  </si>
  <si>
    <t>1145</t>
  </si>
  <si>
    <t>South College East</t>
  </si>
  <si>
    <t>IT</t>
  </si>
  <si>
    <t>220 W. Church Ave.</t>
  </si>
  <si>
    <t>1150</t>
  </si>
  <si>
    <t>South College West</t>
  </si>
  <si>
    <t>Financial Aid/Cashier's office</t>
  </si>
  <si>
    <t>222 W. Church Ave.</t>
  </si>
  <si>
    <t>1155</t>
  </si>
  <si>
    <t xml:space="preserve">Waidner Admissions </t>
  </si>
  <si>
    <t>Admissions</t>
  </si>
  <si>
    <t>272 W. High St.</t>
  </si>
  <si>
    <t>1964 / Reno 2010</t>
  </si>
  <si>
    <t>TOTAL ADMINISTRATION</t>
  </si>
  <si>
    <t>1720</t>
  </si>
  <si>
    <t>133 N. College St.</t>
  </si>
  <si>
    <t>Residence Hall</t>
  </si>
  <si>
    <t>2004 / Reno 2019</t>
  </si>
  <si>
    <t>1265</t>
  </si>
  <si>
    <t>135 N. College St.</t>
  </si>
  <si>
    <t>1989 / Reno 2019</t>
  </si>
  <si>
    <t>1200</t>
  </si>
  <si>
    <t>135 Cedar St.</t>
  </si>
  <si>
    <t>&gt;30</t>
  </si>
  <si>
    <t>1490</t>
  </si>
  <si>
    <t>139 N. College St.</t>
  </si>
  <si>
    <t>1987 / Reno 2019</t>
  </si>
  <si>
    <t>1815</t>
  </si>
  <si>
    <t xml:space="preserve">155 W. High St. </t>
  </si>
  <si>
    <t>1375</t>
  </si>
  <si>
    <t>159 W. High St.</t>
  </si>
  <si>
    <t>1430</t>
  </si>
  <si>
    <t>163 W. High St</t>
  </si>
  <si>
    <t>163 W. High St.</t>
  </si>
  <si>
    <t>1431</t>
  </si>
  <si>
    <t>165 W. High St</t>
  </si>
  <si>
    <t>165 W. High St.</t>
  </si>
  <si>
    <t>1510</t>
  </si>
  <si>
    <t>170 W. Louther St.</t>
  </si>
  <si>
    <t>1900/ Reno 2019</t>
  </si>
  <si>
    <t>1433</t>
  </si>
  <si>
    <t>171 W. High St.</t>
  </si>
  <si>
    <t>1267</t>
  </si>
  <si>
    <t>2 Conway St.</t>
  </si>
  <si>
    <t>2012 / Reno 2018</t>
  </si>
  <si>
    <t>1055</t>
  </si>
  <si>
    <t>233 W. Louther St.</t>
  </si>
  <si>
    <t>1986/2022</t>
  </si>
  <si>
    <t>1515</t>
  </si>
  <si>
    <t>417 W. Louther St.</t>
  </si>
  <si>
    <t>? / Reno 2019</t>
  </si>
  <si>
    <t>1525</t>
  </si>
  <si>
    <t>425 W. Louther St.</t>
  </si>
  <si>
    <t>1545</t>
  </si>
  <si>
    <t>49 S. College St.</t>
  </si>
  <si>
    <t>1984 / Reno 2019</t>
  </si>
  <si>
    <t>1550</t>
  </si>
  <si>
    <t>505 W. Louther St.</t>
  </si>
  <si>
    <t>1982 / Reno 2017</t>
  </si>
  <si>
    <t>1555</t>
  </si>
  <si>
    <t>507 W. Louther St.</t>
  </si>
  <si>
    <t>2005 / Reno 2017</t>
  </si>
  <si>
    <t>1740</t>
  </si>
  <si>
    <t>509 W. Louther St.</t>
  </si>
  <si>
    <t>1560</t>
  </si>
  <si>
    <t>51 S. College St.</t>
  </si>
  <si>
    <t>1283</t>
  </si>
  <si>
    <t>513 W. Louther St.</t>
  </si>
  <si>
    <t>2014 / Reno 2017</t>
  </si>
  <si>
    <t>1565</t>
  </si>
  <si>
    <t>515 W. Louther St.</t>
  </si>
  <si>
    <t>2009 / Reno 2017</t>
  </si>
  <si>
    <t>519 W. Louther St.</t>
  </si>
  <si>
    <t>2000 / Reno 2017</t>
  </si>
  <si>
    <t>1570</t>
  </si>
  <si>
    <t>521 W. Louther St.</t>
  </si>
  <si>
    <t>1983 / Reno 2017</t>
  </si>
  <si>
    <t>1575</t>
  </si>
  <si>
    <t>527 W. Louther St.</t>
  </si>
  <si>
    <t>1580</t>
  </si>
  <si>
    <t>529 W. Louther St.</t>
  </si>
  <si>
    <t>1991 / Reno 2017</t>
  </si>
  <si>
    <t>1280</t>
  </si>
  <si>
    <t>531 W. Louther St.</t>
  </si>
  <si>
    <t>2001 / Reno 2017</t>
  </si>
  <si>
    <t>1295</t>
  </si>
  <si>
    <t>538 W. Louther St.</t>
  </si>
  <si>
    <t>1315</t>
  </si>
  <si>
    <t>Adams</t>
  </si>
  <si>
    <t>90 S. College St.</t>
  </si>
  <si>
    <t>1320</t>
  </si>
  <si>
    <t>Armstrong / Quad 8</t>
  </si>
  <si>
    <t>55 Cherry St.</t>
  </si>
  <si>
    <t>1325</t>
  </si>
  <si>
    <t>Atwater / Quad 7</t>
  </si>
  <si>
    <t>415 Dickinson Ave.</t>
  </si>
  <si>
    <t>1330/1400</t>
  </si>
  <si>
    <t>Baird McClintock / Quad 4-5</t>
  </si>
  <si>
    <t>412-414 Dickinson Ave.</t>
  </si>
  <si>
    <t>Reno 2000</t>
  </si>
  <si>
    <t>1335</t>
  </si>
  <si>
    <t>Buchanan / Quad 2</t>
  </si>
  <si>
    <t>407 W. High St.</t>
  </si>
  <si>
    <t>Reno 1995</t>
  </si>
  <si>
    <t>1340</t>
  </si>
  <si>
    <t>Carriage House</t>
  </si>
  <si>
    <t>129 W. Chapel Ave.</t>
  </si>
  <si>
    <t>1345</t>
  </si>
  <si>
    <t>Conway / Quad 1</t>
  </si>
  <si>
    <t>23 Cherry St.</t>
  </si>
  <si>
    <t>1350</t>
  </si>
  <si>
    <t>Spradley-Young  / Quad 3</t>
  </si>
  <si>
    <t>405 W. High St.</t>
  </si>
  <si>
    <t>1355/1480</t>
  </si>
  <si>
    <t>Davidson Wilson / Quad 9-10</t>
  </si>
  <si>
    <t>413 Dickinson Ave. / 434 W. Louther</t>
  </si>
  <si>
    <t>Reno 2005</t>
  </si>
  <si>
    <t>1360</t>
  </si>
  <si>
    <t>Drayer Hall</t>
  </si>
  <si>
    <t>60 S. College St.</t>
  </si>
  <si>
    <t>1370</t>
  </si>
  <si>
    <t xml:space="preserve">Goodyear </t>
  </si>
  <si>
    <t>551-595 W. Louther St.</t>
  </si>
  <si>
    <t>1317</t>
  </si>
  <si>
    <t>High Street Residence Hall</t>
  </si>
  <si>
    <t>450 W. High St.</t>
  </si>
  <si>
    <t>1380</t>
  </si>
  <si>
    <t xml:space="preserve">Kisner - Woodward </t>
  </si>
  <si>
    <t>411 Dickinson Ave.</t>
  </si>
  <si>
    <t>1385</t>
  </si>
  <si>
    <t>Longsdorff / Quad 6</t>
  </si>
  <si>
    <t>33 Cherry St.</t>
  </si>
  <si>
    <t>1390</t>
  </si>
  <si>
    <t xml:space="preserve">Malcolm Hall </t>
  </si>
  <si>
    <t>402 W. High St.</t>
  </si>
  <si>
    <t>1395</t>
  </si>
  <si>
    <t>Matthews House</t>
  </si>
  <si>
    <t>60 Moorland Ave.</t>
  </si>
  <si>
    <t>1405</t>
  </si>
  <si>
    <t xml:space="preserve">McKenney Hall </t>
  </si>
  <si>
    <t>410 Dickinson Ave.</t>
  </si>
  <si>
    <t>1410</t>
  </si>
  <si>
    <t>Morgan Hall</t>
  </si>
  <si>
    <t>360 W. High St.</t>
  </si>
  <si>
    <t>Reno 2003</t>
  </si>
  <si>
    <t>1415</t>
  </si>
  <si>
    <t xml:space="preserve">Reed House </t>
  </si>
  <si>
    <t>32 S. West St.</t>
  </si>
  <si>
    <t>1954 / Reno 1958</t>
  </si>
  <si>
    <t>1425</t>
  </si>
  <si>
    <t xml:space="preserve">Schuman House </t>
  </si>
  <si>
    <t>34 S. West St.</t>
  </si>
  <si>
    <t>1435</t>
  </si>
  <si>
    <t xml:space="preserve">Strayer House </t>
  </si>
  <si>
    <t>131 S. College St.</t>
  </si>
  <si>
    <t>1440</t>
  </si>
  <si>
    <t>Stuart Hall</t>
  </si>
  <si>
    <t>49 N. West St.</t>
  </si>
  <si>
    <t>1445</t>
  </si>
  <si>
    <t xml:space="preserve">Todd House </t>
  </si>
  <si>
    <t>41 S. College St.</t>
  </si>
  <si>
    <t>1964 / Reno 2003</t>
  </si>
  <si>
    <t>1450</t>
  </si>
  <si>
    <t>Townhouse</t>
  </si>
  <si>
    <t>373 W. Louther St.</t>
  </si>
  <si>
    <t>1455</t>
  </si>
  <si>
    <t xml:space="preserve">Townhouse </t>
  </si>
  <si>
    <t>377 W. Louther St.</t>
  </si>
  <si>
    <t>1460</t>
  </si>
  <si>
    <t>379 W. Louther St.</t>
  </si>
  <si>
    <t>1465</t>
  </si>
  <si>
    <t>381 W. Louther St.</t>
  </si>
  <si>
    <t>1470</t>
  </si>
  <si>
    <t>383 W. Louther St.</t>
  </si>
  <si>
    <t>1745</t>
  </si>
  <si>
    <t xml:space="preserve">Treehouse </t>
  </si>
  <si>
    <t>532 W. Louther St.</t>
  </si>
  <si>
    <t>2006 / Reno 2006</t>
  </si>
  <si>
    <t>1255</t>
  </si>
  <si>
    <t xml:space="preserve">Vincett House </t>
  </si>
  <si>
    <t>275 W. Louther St.</t>
  </si>
  <si>
    <t>1485</t>
  </si>
  <si>
    <t>Witwer Hall</t>
  </si>
  <si>
    <t>Subtotal Residence Hall</t>
  </si>
  <si>
    <t>1428</t>
  </si>
  <si>
    <t>100 S. West St.</t>
  </si>
  <si>
    <t>Res Hall/Rental</t>
  </si>
  <si>
    <t>1667</t>
  </si>
  <si>
    <t>133 W. High St. (2, 5)</t>
  </si>
  <si>
    <t>133 W. High St</t>
  </si>
  <si>
    <t>1668</t>
  </si>
  <si>
    <t>141 W. High St.</t>
  </si>
  <si>
    <t>1517</t>
  </si>
  <si>
    <t>146 W. Louther St.</t>
  </si>
  <si>
    <t>1518</t>
  </si>
  <si>
    <t>152 W. Louther St.</t>
  </si>
  <si>
    <t>1521</t>
  </si>
  <si>
    <t>154 W. Louther St. (1)</t>
  </si>
  <si>
    <t>1821</t>
  </si>
  <si>
    <t>19-21 W. High St.</t>
  </si>
  <si>
    <t>19-23 W. High</t>
  </si>
  <si>
    <t>1822</t>
  </si>
  <si>
    <t>23 W. High St.</t>
  </si>
  <si>
    <t>1823</t>
  </si>
  <si>
    <t>27 W. High St.</t>
  </si>
  <si>
    <t>25-27 W. High St.</t>
  </si>
  <si>
    <t>1226</t>
  </si>
  <si>
    <t>Cherry Apts</t>
  </si>
  <si>
    <t>128-140 Cherry St.</t>
  </si>
  <si>
    <t>&gt;25</t>
  </si>
  <si>
    <t>1365</t>
  </si>
  <si>
    <t>Factory Apts.</t>
  </si>
  <si>
    <t>230-236 W. North St.</t>
  </si>
  <si>
    <t>1840</t>
  </si>
  <si>
    <t>Reed Apts.</t>
  </si>
  <si>
    <t>502-512 Reed St.</t>
  </si>
  <si>
    <t>Subtotal Residence Hall/Rental</t>
  </si>
  <si>
    <t>TOTAL RESIDENCE HALL</t>
  </si>
  <si>
    <t>1857</t>
  </si>
  <si>
    <t>344 W. North St.</t>
  </si>
  <si>
    <t>Fac/Staff Residence</t>
  </si>
  <si>
    <t>ResLife Staff</t>
  </si>
  <si>
    <t>344 W. North</t>
  </si>
  <si>
    <t>1858</t>
  </si>
  <si>
    <t>362 W. North S.</t>
  </si>
  <si>
    <t>362 W. North</t>
  </si>
  <si>
    <t>1300</t>
  </si>
  <si>
    <t xml:space="preserve">Boiling Springs Cottage </t>
  </si>
  <si>
    <t>Farm staff</t>
  </si>
  <si>
    <t>553 Park Dr., Boiling Springs</t>
  </si>
  <si>
    <t>&lt;25</t>
  </si>
  <si>
    <t>1310</t>
  </si>
  <si>
    <t>King House</t>
  </si>
  <si>
    <t>Assitant coaches</t>
  </si>
  <si>
    <t xml:space="preserve">103 Conway St. </t>
  </si>
  <si>
    <t>Subtotal Fac/Staff Residence</t>
  </si>
  <si>
    <t>1824</t>
  </si>
  <si>
    <t>119 W. High St. (1, 2, 3)</t>
  </si>
  <si>
    <t>Fac/Staff Res/Rental</t>
  </si>
  <si>
    <t>Visiting Faculty</t>
  </si>
  <si>
    <t>119 W. High St.</t>
  </si>
  <si>
    <t>1826</t>
  </si>
  <si>
    <t>25 Pomfret St (15, 16)</t>
  </si>
  <si>
    <t>1819</t>
  </si>
  <si>
    <t>49 W. High (1, 2, 3)</t>
  </si>
  <si>
    <t>49 W. High</t>
  </si>
  <si>
    <t>50 Wilson Street</t>
  </si>
  <si>
    <t>50 Wilson St.</t>
  </si>
  <si>
    <t>Subtotal Fac/Staff Residence/Rental</t>
  </si>
  <si>
    <t>TOTAL FAC/STAFF RESIDENCE</t>
  </si>
  <si>
    <t>1195</t>
  </si>
  <si>
    <t>61 N. West St.</t>
  </si>
  <si>
    <t>House Divided/Diamond 6</t>
  </si>
  <si>
    <t>1210</t>
  </si>
  <si>
    <t>Allison Church</t>
  </si>
  <si>
    <t>Community</t>
  </si>
  <si>
    <t>Social space, meeting rooms, offices</t>
  </si>
  <si>
    <t>99 Mooreland Ave.</t>
  </si>
  <si>
    <t xml:space="preserve">Asbell </t>
  </si>
  <si>
    <t>Jewish Life</t>
  </si>
  <si>
    <t>262 W. High St.</t>
  </si>
  <si>
    <t>1943/ Reno 2003</t>
  </si>
  <si>
    <t>1215</t>
  </si>
  <si>
    <t xml:space="preserve">ATS </t>
  </si>
  <si>
    <t>Multi-functional space</t>
  </si>
  <si>
    <t>360 W. Louther St.</t>
  </si>
  <si>
    <t>n/a</t>
  </si>
  <si>
    <t>1100/1105</t>
  </si>
  <si>
    <t>DCCC</t>
  </si>
  <si>
    <t>Daycare</t>
  </si>
  <si>
    <t>600 Garland Ave.</t>
  </si>
  <si>
    <t>1984 / Reno 2009</t>
  </si>
  <si>
    <t>1240</t>
  </si>
  <si>
    <t xml:space="preserve">Holland Union Bldg. </t>
  </si>
  <si>
    <t>Student Life, Dining Services, Student Activities &amp; Services</t>
  </si>
  <si>
    <t>28 N. College St.</t>
  </si>
  <si>
    <t>1235</t>
  </si>
  <si>
    <t>Kline Center Annex</t>
  </si>
  <si>
    <t>Health and Counseling Centers</t>
  </si>
  <si>
    <t>42 Cherry St.</t>
  </si>
  <si>
    <t>1050</t>
  </si>
  <si>
    <t xml:space="preserve">Landis House </t>
  </si>
  <si>
    <t>Women's Center, Diversity Initiatives, Conflict Resolutions</t>
  </si>
  <si>
    <t>101 S. College St.</t>
  </si>
  <si>
    <t>1277</t>
  </si>
  <si>
    <t>President's House (New)</t>
  </si>
  <si>
    <t>Private residence</t>
  </si>
  <si>
    <t>127 Conway St</t>
  </si>
  <si>
    <t>1245</t>
  </si>
  <si>
    <t>Historic President's House</t>
  </si>
  <si>
    <t>Alumni Relations/Guest Housing</t>
  </si>
  <si>
    <t>212 W. High St.</t>
  </si>
  <si>
    <t>1890 / Reno 2023</t>
  </si>
  <si>
    <t>1250</t>
  </si>
  <si>
    <t xml:space="preserve">Quarry, The </t>
  </si>
  <si>
    <t>Outside Use/Student Social Space</t>
  </si>
  <si>
    <t>51 N. College St.</t>
  </si>
  <si>
    <t>1931 / Reno 2000</t>
  </si>
  <si>
    <t>TOTAL COMMUNITY</t>
  </si>
  <si>
    <t>1162</t>
  </si>
  <si>
    <t>Biddle Press Box</t>
  </si>
  <si>
    <t>Athletic Bldg.</t>
  </si>
  <si>
    <t>Belvedere St.</t>
  </si>
  <si>
    <t>1164</t>
  </si>
  <si>
    <t>Biddle Public Restrooms</t>
  </si>
  <si>
    <t>1161</t>
  </si>
  <si>
    <t>Durden ATC</t>
  </si>
  <si>
    <t>Locker Rooms/Training Center/Meeting Sapce</t>
  </si>
  <si>
    <t>1170</t>
  </si>
  <si>
    <t xml:space="preserve">Kline Life Sport Complex </t>
  </si>
  <si>
    <t>Locker Rooms/Fitness Center/Pool/Basketball Court/Indoor track</t>
  </si>
  <si>
    <t>575 W. High St.</t>
  </si>
  <si>
    <t>1260</t>
  </si>
  <si>
    <t xml:space="preserve">Wentzel </t>
  </si>
  <si>
    <t>Locker Rooms/Indoor Baseball/DCCC during summer</t>
  </si>
  <si>
    <t>1250 Ritner Hwy</t>
  </si>
  <si>
    <t>2002 / Reno 2020</t>
  </si>
  <si>
    <t>TOTAL ATHLETIC BUILDING</t>
  </si>
  <si>
    <t>1230</t>
  </si>
  <si>
    <t>Hartman House</t>
  </si>
  <si>
    <t>Auxiliary</t>
  </si>
  <si>
    <t>Guest Housing</t>
  </si>
  <si>
    <t>243 W. Louther St.</t>
  </si>
  <si>
    <t>1305</t>
  </si>
  <si>
    <t xml:space="preserve">Kade House </t>
  </si>
  <si>
    <t>31 S. West St.</t>
  </si>
  <si>
    <t>Library Storage</t>
  </si>
  <si>
    <t>TOTAL AUXILIARY</t>
  </si>
  <si>
    <t>155 W. High St., Ground Floor</t>
  </si>
  <si>
    <t>Other</t>
  </si>
  <si>
    <t>Outside lease</t>
  </si>
  <si>
    <t>155 W. High St.</t>
  </si>
  <si>
    <t>1589</t>
  </si>
  <si>
    <t>368 W. North</t>
  </si>
  <si>
    <t>Victory Circle</t>
  </si>
  <si>
    <t>368 W. North St.</t>
  </si>
  <si>
    <t>1125</t>
  </si>
  <si>
    <t>CPYB/Project Share</t>
  </si>
  <si>
    <t>1675</t>
  </si>
  <si>
    <t>Boiling Springs Farm</t>
  </si>
  <si>
    <t>Barn and Outbuildings</t>
  </si>
  <si>
    <t>575 Park Dr., Boiling Springs</t>
  </si>
  <si>
    <t xml:space="preserve">Boiling Springs Farm </t>
  </si>
  <si>
    <t>Hoover Rental</t>
  </si>
  <si>
    <t>TOTAL OTHER</t>
  </si>
  <si>
    <t>TOTAL DICKINSON CAMPUS BUILDINGS</t>
  </si>
  <si>
    <t xml:space="preserve"> </t>
  </si>
  <si>
    <t>CODE</t>
  </si>
  <si>
    <t>ACRES</t>
  </si>
  <si>
    <t>Rush Campus</t>
  </si>
  <si>
    <t>Academic/Admin</t>
  </si>
  <si>
    <t>Nesbit Campus</t>
  </si>
  <si>
    <t>Mixed Use</t>
  </si>
  <si>
    <t>Dickinson Campus</t>
  </si>
  <si>
    <t>Residential</t>
  </si>
  <si>
    <t>South College area</t>
  </si>
  <si>
    <t>Malcolm/Mooreland</t>
  </si>
  <si>
    <t>Kline/N. Orange</t>
  </si>
  <si>
    <t>Goodyear/500 Louther</t>
  </si>
  <si>
    <t>Kaufman/ 300-400 Louther</t>
  </si>
  <si>
    <t>Dana/ 200 Louther</t>
  </si>
  <si>
    <t>Denny/West St.</t>
  </si>
  <si>
    <t>Miscellaneous small properties</t>
  </si>
  <si>
    <t>1705</t>
  </si>
  <si>
    <t>Rocky Acres/Dickinson Green</t>
  </si>
  <si>
    <t>Community Farm</t>
  </si>
  <si>
    <t>Subtotal Campus</t>
  </si>
  <si>
    <t>1160</t>
  </si>
  <si>
    <t>Biddle Athletic Field Complex</t>
  </si>
  <si>
    <t>Athletic Field</t>
  </si>
  <si>
    <t>1165</t>
  </si>
  <si>
    <t>Dickinson Park</t>
  </si>
  <si>
    <t>1163</t>
  </si>
  <si>
    <t xml:space="preserve">Hockey Field </t>
  </si>
  <si>
    <t>Subtotal Athletic Fields</t>
  </si>
  <si>
    <t>Boiling Springs Farm (Organic)</t>
  </si>
  <si>
    <t>Farm</t>
  </si>
  <si>
    <t>Cottage Area</t>
  </si>
  <si>
    <t>Boiling Springs Farm (Hoover)</t>
  </si>
  <si>
    <t>Hoover Area</t>
  </si>
  <si>
    <t>Subtotal Farmland</t>
  </si>
  <si>
    <t>1700</t>
  </si>
  <si>
    <t>Rock Quarry</t>
  </si>
  <si>
    <t>Quarry</t>
  </si>
  <si>
    <t>Subtotal Other</t>
  </si>
  <si>
    <t>TOTAL ACREAGE</t>
  </si>
  <si>
    <t>ACRES/SF</t>
  </si>
  <si>
    <t xml:space="preserve">Bremen Facility </t>
  </si>
  <si>
    <t>Abroad Facility</t>
  </si>
  <si>
    <t>Germany</t>
  </si>
  <si>
    <t xml:space="preserve">Malaga Facility </t>
  </si>
  <si>
    <t>Spain</t>
  </si>
  <si>
    <t xml:space="preserve">Norwich Facility </t>
  </si>
  <si>
    <t>England</t>
  </si>
  <si>
    <t xml:space="preserve">Toulouse Facility </t>
  </si>
  <si>
    <t>Italy</t>
  </si>
  <si>
    <t xml:space="preserve">Yauonde Facility </t>
  </si>
  <si>
    <t>Cameroon</t>
  </si>
  <si>
    <t>1434</t>
  </si>
  <si>
    <t>115 W. High St. (1, 2, 3)</t>
  </si>
  <si>
    <t>115 W. High St.</t>
  </si>
  <si>
    <t>CPYB / Project Share</t>
  </si>
  <si>
    <t>Quad 1 / Conway</t>
  </si>
  <si>
    <t>Quad 2 /Buchanan</t>
  </si>
  <si>
    <t>Quad 3 / Cooper</t>
  </si>
  <si>
    <t>Quad 4-5 / Baird McClintock</t>
  </si>
  <si>
    <t>Quad 6 / Longsdorff</t>
  </si>
  <si>
    <t>Quad 7 / Atwater</t>
  </si>
  <si>
    <t>Quad 8 /Armstrong</t>
  </si>
  <si>
    <t>Quad 9-10 / Davidson Wilson</t>
  </si>
  <si>
    <t>Schaffer Farm House</t>
  </si>
  <si>
    <t>1290 Ritner Hwy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</si>
</sst>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0"/>
      <name val="Times New Roman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sz val="10"/>
      <name val="Times New Roman"/>
      <family val="1"/>
    </font>
    <font>
      <b/>
      <sz val="12"/>
      <color theme="0"/>
      <name val="Times New Roman"/>
      <family val="1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20">
    <xf numFmtId="0" fontId="0" fillId="0" borderId="0" xfId="0"/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3" fillId="0" borderId="33" xfId="0" applyNumberFormat="1" applyFont="1" applyBorder="1" applyAlignment="1">
      <alignment vertical="center" wrapText="1"/>
    </xf>
    <xf numFmtId="0" fontId="3" fillId="0" borderId="33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49" fontId="5" fillId="0" borderId="33" xfId="0" applyNumberFormat="1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164" fontId="5" fillId="0" borderId="0" xfId="1" applyNumberFormat="1" applyFont="1" applyFill="1" applyAlignment="1">
      <alignment vertical="center" wrapText="1"/>
    </xf>
    <xf numFmtId="49" fontId="1" fillId="0" borderId="3" xfId="0" applyNumberFormat="1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3" fontId="2" fillId="0" borderId="9" xfId="0" applyNumberFormat="1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3" fontId="2" fillId="0" borderId="11" xfId="0" applyNumberFormat="1" applyFont="1" applyBorder="1" applyAlignment="1">
      <alignment horizontal="center" vertical="center" wrapText="1"/>
    </xf>
    <xf numFmtId="4" fontId="2" fillId="0" borderId="11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3" fontId="2" fillId="0" borderId="23" xfId="0" applyNumberFormat="1" applyFont="1" applyBorder="1" applyAlignment="1">
      <alignment horizontal="center" vertical="center" wrapText="1"/>
    </xf>
    <xf numFmtId="4" fontId="2" fillId="0" borderId="23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49" fontId="2" fillId="0" borderId="12" xfId="0" applyNumberFormat="1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3" fontId="2" fillId="0" borderId="13" xfId="0" applyNumberFormat="1" applyFont="1" applyBorder="1" applyAlignment="1">
      <alignment horizontal="center" vertical="center" wrapText="1"/>
    </xf>
    <xf numFmtId="4" fontId="2" fillId="0" borderId="13" xfId="0" applyNumberFormat="1" applyFont="1" applyBorder="1" applyAlignment="1">
      <alignment horizontal="center" vertical="center" wrapText="1"/>
    </xf>
    <xf numFmtId="49" fontId="1" fillId="3" borderId="24" xfId="0" applyNumberFormat="1" applyFont="1" applyFill="1" applyBorder="1" applyAlignment="1">
      <alignment vertical="center" wrapText="1"/>
    </xf>
    <xf numFmtId="3" fontId="1" fillId="3" borderId="27" xfId="0" applyNumberFormat="1" applyFont="1" applyFill="1" applyBorder="1" applyAlignment="1">
      <alignment horizontal="center" vertical="center" wrapText="1"/>
    </xf>
    <xf numFmtId="4" fontId="1" fillId="3" borderId="27" xfId="0" applyNumberFormat="1" applyFont="1" applyFill="1" applyBorder="1" applyAlignment="1">
      <alignment horizontal="center" vertical="center" wrapText="1"/>
    </xf>
    <xf numFmtId="9" fontId="1" fillId="3" borderId="27" xfId="2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2" fillId="0" borderId="14" xfId="0" applyNumberFormat="1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49" fontId="1" fillId="4" borderId="24" xfId="0" applyNumberFormat="1" applyFont="1" applyFill="1" applyBorder="1" applyAlignment="1">
      <alignment vertical="center" wrapText="1"/>
    </xf>
    <xf numFmtId="3" fontId="1" fillId="4" borderId="27" xfId="0" applyNumberFormat="1" applyFont="1" applyFill="1" applyBorder="1" applyAlignment="1">
      <alignment horizontal="center" vertical="center" wrapText="1"/>
    </xf>
    <xf numFmtId="4" fontId="1" fillId="4" borderId="27" xfId="0" applyNumberFormat="1" applyFont="1" applyFill="1" applyBorder="1" applyAlignment="1">
      <alignment horizontal="center" vertical="center" wrapText="1"/>
    </xf>
    <xf numFmtId="9" fontId="1" fillId="4" borderId="27" xfId="2" applyFont="1" applyFill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3" fontId="2" fillId="0" borderId="18" xfId="0" applyNumberFormat="1" applyFont="1" applyBorder="1" applyAlignment="1">
      <alignment horizontal="center" vertical="center" wrapText="1"/>
    </xf>
    <xf numFmtId="4" fontId="2" fillId="0" borderId="18" xfId="0" applyNumberFormat="1" applyFont="1" applyBorder="1" applyAlignment="1">
      <alignment horizontal="center" vertical="center" wrapText="1"/>
    </xf>
    <xf numFmtId="49" fontId="1" fillId="4" borderId="26" xfId="0" applyNumberFormat="1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2" fillId="3" borderId="26" xfId="0" applyNumberFormat="1" applyFont="1" applyFill="1" applyBorder="1" applyAlignment="1">
      <alignment vertical="center" wrapText="1"/>
    </xf>
    <xf numFmtId="49" fontId="2" fillId="3" borderId="25" xfId="0" applyNumberFormat="1" applyFont="1" applyFill="1" applyBorder="1" applyAlignment="1">
      <alignment vertical="center" wrapText="1"/>
    </xf>
    <xf numFmtId="49" fontId="2" fillId="4" borderId="25" xfId="0" applyNumberFormat="1" applyFont="1" applyFill="1" applyBorder="1" applyAlignment="1">
      <alignment vertical="center" wrapText="1"/>
    </xf>
    <xf numFmtId="49" fontId="2" fillId="5" borderId="26" xfId="0" applyNumberFormat="1" applyFont="1" applyFill="1" applyBorder="1" applyAlignment="1">
      <alignment vertical="center" wrapText="1"/>
    </xf>
    <xf numFmtId="49" fontId="2" fillId="0" borderId="32" xfId="0" applyNumberFormat="1" applyFont="1" applyBorder="1" applyAlignment="1">
      <alignment vertical="center" wrapText="1"/>
    </xf>
    <xf numFmtId="49" fontId="2" fillId="5" borderId="28" xfId="0" applyNumberFormat="1" applyFont="1" applyFill="1" applyBorder="1" applyAlignment="1">
      <alignment vertical="center" wrapText="1"/>
    </xf>
    <xf numFmtId="3" fontId="1" fillId="3" borderId="15" xfId="0" applyNumberFormat="1" applyFont="1" applyFill="1" applyBorder="1" applyAlignment="1">
      <alignment horizontal="center" vertical="center" wrapText="1"/>
    </xf>
    <xf numFmtId="4" fontId="1" fillId="3" borderId="15" xfId="0" applyNumberFormat="1" applyFont="1" applyFill="1" applyBorder="1" applyAlignment="1">
      <alignment horizontal="center" vertical="center" wrapText="1"/>
    </xf>
    <xf numFmtId="49" fontId="2" fillId="4" borderId="26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4" xfId="0" applyFont="1" applyBorder="1" applyAlignment="1">
      <alignment vertical="center" wrapText="1"/>
    </xf>
    <xf numFmtId="3" fontId="2" fillId="0" borderId="15" xfId="0" applyNumberFormat="1" applyFont="1" applyBorder="1" applyAlignment="1">
      <alignment horizontal="center" vertical="center" wrapText="1"/>
    </xf>
    <xf numFmtId="49" fontId="3" fillId="2" borderId="29" xfId="0" applyNumberFormat="1" applyFont="1" applyFill="1" applyBorder="1" applyAlignment="1">
      <alignment vertical="center" wrapText="1"/>
    </xf>
    <xf numFmtId="164" fontId="8" fillId="2" borderId="2" xfId="1" applyNumberFormat="1" applyFont="1" applyFill="1" applyBorder="1" applyAlignment="1">
      <alignment horizontal="center" vertical="center" wrapText="1"/>
    </xf>
    <xf numFmtId="9" fontId="8" fillId="2" borderId="2" xfId="2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horizontal="center" vertical="center" wrapText="1"/>
    </xf>
    <xf numFmtId="9" fontId="2" fillId="0" borderId="0" xfId="2" applyFont="1" applyFill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6" borderId="21" xfId="0" applyFont="1" applyFill="1" applyBorder="1" applyAlignment="1">
      <alignment vertical="center" wrapText="1"/>
    </xf>
    <xf numFmtId="0" fontId="2" fillId="6" borderId="22" xfId="0" applyFont="1" applyFill="1" applyBorder="1" applyAlignment="1">
      <alignment vertical="center" wrapText="1"/>
    </xf>
    <xf numFmtId="0" fontId="2" fillId="6" borderId="22" xfId="0" applyFont="1" applyFill="1" applyBorder="1" applyAlignment="1">
      <alignment horizontal="center" vertical="center" wrapText="1"/>
    </xf>
    <xf numFmtId="3" fontId="2" fillId="6" borderId="23" xfId="0" applyNumberFormat="1" applyFont="1" applyFill="1" applyBorder="1" applyAlignment="1">
      <alignment horizontal="center" vertical="center" wrapText="1"/>
    </xf>
    <xf numFmtId="4" fontId="2" fillId="6" borderId="23" xfId="0" applyNumberFormat="1" applyFont="1" applyFill="1" applyBorder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49" fontId="2" fillId="6" borderId="21" xfId="0" quotePrefix="1" applyNumberFormat="1" applyFont="1" applyFill="1" applyBorder="1" applyAlignment="1">
      <alignment vertical="center" wrapText="1"/>
    </xf>
    <xf numFmtId="3" fontId="2" fillId="3" borderId="18" xfId="0" applyNumberFormat="1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92"/>
  <sheetViews>
    <sheetView tabSelected="1" zoomScale="120" zoomScaleNormal="120" workbookViewId="0">
      <pane ySplit="5" topLeftCell="A117" activePane="bottomLeft" state="frozen"/>
      <selection pane="bottomLeft" activeCell="P143" sqref="P143"/>
    </sheetView>
  </sheetViews>
  <sheetFormatPr defaultColWidth="9.33203125" defaultRowHeight="12.75" outlineLevelRow="2"/>
  <cols>
    <col min="1" max="1" width="11" style="86" customWidth="1"/>
    <col min="2" max="2" width="24" style="20" customWidth="1"/>
    <col min="3" max="3" width="20.5" style="20" customWidth="1"/>
    <col min="4" max="4" width="33.5" style="20" customWidth="1"/>
    <col min="5" max="5" width="26.33203125" style="20" customWidth="1"/>
    <col min="6" max="6" width="12.1640625" style="17" customWidth="1"/>
    <col min="7" max="7" width="18.83203125" style="17" customWidth="1"/>
    <col min="8" max="8" width="13.5" style="87" customWidth="1"/>
    <col min="9" max="9" width="8.83203125" style="87" customWidth="1"/>
    <col min="10" max="10" width="9.83203125" style="87" customWidth="1"/>
    <col min="11" max="11" width="13.6640625" style="87" customWidth="1"/>
    <col min="12" max="13" width="8.83203125" style="87" customWidth="1"/>
    <col min="14" max="14" width="10.5" style="20" bestFit="1" customWidth="1"/>
    <col min="15" max="16384" width="9.33203125" style="20"/>
  </cols>
  <sheetData>
    <row r="1" spans="1:13" s="22" customFormat="1" ht="20.25">
      <c r="A1" s="116" t="s">
        <v>0</v>
      </c>
      <c r="B1" s="116"/>
      <c r="C1" s="116"/>
      <c r="D1" s="116"/>
      <c r="E1" s="116"/>
      <c r="F1" s="116"/>
      <c r="G1" s="116"/>
      <c r="H1" s="116"/>
      <c r="I1" s="21"/>
      <c r="K1" s="23"/>
    </row>
    <row r="2" spans="1:13" s="22" customFormat="1" ht="15.75">
      <c r="A2" s="117" t="s">
        <v>1</v>
      </c>
      <c r="B2" s="117"/>
      <c r="C2" s="117"/>
      <c r="D2" s="117"/>
      <c r="E2" s="117"/>
      <c r="F2" s="117"/>
      <c r="G2" s="117"/>
      <c r="H2" s="117"/>
      <c r="I2" s="21"/>
      <c r="K2" s="23"/>
    </row>
    <row r="3" spans="1:13" s="22" customFormat="1" ht="15.75">
      <c r="A3" s="118" t="s">
        <v>2</v>
      </c>
      <c r="B3" s="118"/>
      <c r="C3" s="118"/>
      <c r="D3" s="118"/>
      <c r="E3" s="118"/>
      <c r="F3" s="118"/>
      <c r="G3" s="118"/>
      <c r="H3" s="118"/>
      <c r="I3" s="21"/>
      <c r="K3" s="23"/>
    </row>
    <row r="4" spans="1:13" s="22" customFormat="1" ht="16.5" thickBot="1">
      <c r="A4" s="119" t="s">
        <v>3</v>
      </c>
      <c r="B4" s="119"/>
      <c r="C4" s="119"/>
      <c r="D4" s="119"/>
      <c r="E4" s="119"/>
      <c r="F4" s="119"/>
      <c r="G4" s="119"/>
      <c r="H4" s="119"/>
      <c r="I4" s="21"/>
      <c r="K4" s="23"/>
    </row>
    <row r="5" spans="1:13" ht="26.25" thickBot="1">
      <c r="A5" s="24" t="s">
        <v>4</v>
      </c>
      <c r="B5" s="25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26" t="s">
        <v>11</v>
      </c>
      <c r="I5" s="26" t="s">
        <v>12</v>
      </c>
      <c r="J5" s="114" t="s">
        <v>13</v>
      </c>
      <c r="K5" s="115"/>
      <c r="L5" s="114" t="s">
        <v>14</v>
      </c>
      <c r="M5" s="115"/>
    </row>
    <row r="6" spans="1:13" outlineLevel="2">
      <c r="A6" s="27" t="s">
        <v>15</v>
      </c>
      <c r="B6" s="28" t="s">
        <v>16</v>
      </c>
      <c r="C6" s="29" t="s">
        <v>17</v>
      </c>
      <c r="D6" s="29" t="s">
        <v>18</v>
      </c>
      <c r="E6" s="29" t="s">
        <v>19</v>
      </c>
      <c r="F6" s="10" t="s">
        <v>20</v>
      </c>
      <c r="G6" s="10" t="s">
        <v>21</v>
      </c>
      <c r="H6" s="30">
        <v>2500</v>
      </c>
      <c r="I6" s="30"/>
      <c r="J6" s="31">
        <v>0.5</v>
      </c>
      <c r="K6" s="30">
        <f>SUM(J6*H6)</f>
        <v>1250</v>
      </c>
      <c r="L6" s="30">
        <v>1</v>
      </c>
      <c r="M6" s="30"/>
    </row>
    <row r="7" spans="1:13" outlineLevel="2">
      <c r="A7" s="32" t="s">
        <v>22</v>
      </c>
      <c r="B7" s="33" t="s">
        <v>23</v>
      </c>
      <c r="C7" s="34" t="s">
        <v>17</v>
      </c>
      <c r="D7" s="34" t="s">
        <v>24</v>
      </c>
      <c r="E7" s="34" t="s">
        <v>23</v>
      </c>
      <c r="F7" s="11" t="s">
        <v>20</v>
      </c>
      <c r="G7" s="11">
        <v>1982</v>
      </c>
      <c r="H7" s="35">
        <v>1775</v>
      </c>
      <c r="I7" s="35"/>
      <c r="J7" s="36">
        <v>0</v>
      </c>
      <c r="K7" s="35">
        <f>SUM(J7*H7)</f>
        <v>0</v>
      </c>
      <c r="L7" s="35">
        <v>1</v>
      </c>
      <c r="M7" s="35"/>
    </row>
    <row r="8" spans="1:13" outlineLevel="2">
      <c r="A8" s="32" t="s">
        <v>25</v>
      </c>
      <c r="B8" s="33" t="s">
        <v>26</v>
      </c>
      <c r="C8" s="34" t="s">
        <v>17</v>
      </c>
      <c r="D8" s="34" t="s">
        <v>27</v>
      </c>
      <c r="E8" s="34" t="s">
        <v>28</v>
      </c>
      <c r="F8" s="11" t="s">
        <v>20</v>
      </c>
      <c r="G8" s="11">
        <v>1979</v>
      </c>
      <c r="H8" s="35">
        <v>4576</v>
      </c>
      <c r="I8" s="35"/>
      <c r="J8" s="36">
        <v>0</v>
      </c>
      <c r="K8" s="35">
        <f t="shared" ref="K8:K26" si="0">SUM(J8*H8)</f>
        <v>0</v>
      </c>
      <c r="L8" s="35">
        <v>1</v>
      </c>
      <c r="M8" s="35"/>
    </row>
    <row r="9" spans="1:13" outlineLevel="2">
      <c r="A9" s="32" t="s">
        <v>29</v>
      </c>
      <c r="B9" s="33" t="s">
        <v>30</v>
      </c>
      <c r="C9" s="34" t="s">
        <v>17</v>
      </c>
      <c r="D9" s="34" t="s">
        <v>31</v>
      </c>
      <c r="E9" s="34" t="s">
        <v>32</v>
      </c>
      <c r="F9" s="11">
        <v>1957</v>
      </c>
      <c r="G9" s="11" t="s">
        <v>33</v>
      </c>
      <c r="H9" s="35">
        <v>29133</v>
      </c>
      <c r="I9" s="35"/>
      <c r="J9" s="36">
        <v>1</v>
      </c>
      <c r="K9" s="35">
        <f t="shared" si="0"/>
        <v>29133</v>
      </c>
      <c r="L9" s="35">
        <v>0</v>
      </c>
      <c r="M9" s="35"/>
    </row>
    <row r="10" spans="1:13" outlineLevel="2">
      <c r="A10" s="37" t="s">
        <v>34</v>
      </c>
      <c r="B10" s="38" t="s">
        <v>35</v>
      </c>
      <c r="C10" s="39" t="s">
        <v>17</v>
      </c>
      <c r="D10" s="39" t="s">
        <v>36</v>
      </c>
      <c r="E10" s="39" t="s">
        <v>37</v>
      </c>
      <c r="F10" s="12">
        <v>1827</v>
      </c>
      <c r="G10" s="12">
        <v>1946</v>
      </c>
      <c r="H10" s="40">
        <v>12600</v>
      </c>
      <c r="I10" s="40"/>
      <c r="J10" s="41">
        <v>1</v>
      </c>
      <c r="K10" s="40">
        <f>SUM(J10*H10)</f>
        <v>12600</v>
      </c>
      <c r="L10" s="40">
        <v>1</v>
      </c>
      <c r="M10" s="40"/>
    </row>
    <row r="11" spans="1:13" outlineLevel="2">
      <c r="A11" s="32" t="s">
        <v>38</v>
      </c>
      <c r="B11" s="33" t="s">
        <v>39</v>
      </c>
      <c r="C11" s="34" t="s">
        <v>17</v>
      </c>
      <c r="D11" s="34" t="s">
        <v>40</v>
      </c>
      <c r="E11" s="34" t="s">
        <v>41</v>
      </c>
      <c r="F11" s="11">
        <v>1884</v>
      </c>
      <c r="G11" s="11" t="s">
        <v>42</v>
      </c>
      <c r="H11" s="35">
        <v>33692</v>
      </c>
      <c r="I11" s="35"/>
      <c r="J11" s="36">
        <v>1</v>
      </c>
      <c r="K11" s="35">
        <f t="shared" si="0"/>
        <v>33692</v>
      </c>
      <c r="L11" s="35">
        <v>1</v>
      </c>
      <c r="M11" s="35"/>
    </row>
    <row r="12" spans="1:13" outlineLevel="2">
      <c r="A12" s="32" t="s">
        <v>43</v>
      </c>
      <c r="B12" s="33" t="s">
        <v>44</v>
      </c>
      <c r="C12" s="34" t="s">
        <v>17</v>
      </c>
      <c r="D12" s="34" t="s">
        <v>45</v>
      </c>
      <c r="E12" s="34" t="s">
        <v>46</v>
      </c>
      <c r="F12" s="11" t="s">
        <v>47</v>
      </c>
      <c r="G12" s="11">
        <v>1987</v>
      </c>
      <c r="H12" s="35">
        <v>6638</v>
      </c>
      <c r="I12" s="35"/>
      <c r="J12" s="36">
        <v>0.5</v>
      </c>
      <c r="K12" s="35">
        <f t="shared" si="0"/>
        <v>3319</v>
      </c>
      <c r="L12" s="35">
        <v>1</v>
      </c>
      <c r="M12" s="35"/>
    </row>
    <row r="13" spans="1:13" ht="25.5" outlineLevel="2">
      <c r="A13" s="32" t="s">
        <v>48</v>
      </c>
      <c r="B13" s="33" t="s">
        <v>49</v>
      </c>
      <c r="C13" s="34" t="s">
        <v>17</v>
      </c>
      <c r="D13" s="34" t="s">
        <v>50</v>
      </c>
      <c r="E13" s="34" t="s">
        <v>51</v>
      </c>
      <c r="F13" s="11" t="s">
        <v>47</v>
      </c>
      <c r="G13" s="11">
        <v>1986</v>
      </c>
      <c r="H13" s="35">
        <v>3138</v>
      </c>
      <c r="I13" s="35"/>
      <c r="J13" s="36">
        <v>0.5</v>
      </c>
      <c r="K13" s="35">
        <f t="shared" si="0"/>
        <v>1569</v>
      </c>
      <c r="L13" s="35">
        <v>1</v>
      </c>
      <c r="M13" s="35"/>
    </row>
    <row r="14" spans="1:13" outlineLevel="2">
      <c r="A14" s="32" t="s">
        <v>52</v>
      </c>
      <c r="B14" s="33" t="s">
        <v>53</v>
      </c>
      <c r="C14" s="113" t="s">
        <v>54</v>
      </c>
      <c r="D14" s="113"/>
      <c r="E14" s="34" t="s">
        <v>55</v>
      </c>
      <c r="F14" s="11">
        <v>1966</v>
      </c>
      <c r="G14" s="11" t="s">
        <v>56</v>
      </c>
      <c r="H14" s="35">
        <v>29544</v>
      </c>
      <c r="I14" s="35"/>
      <c r="J14" s="36">
        <v>1</v>
      </c>
      <c r="K14" s="35">
        <f t="shared" si="0"/>
        <v>29544</v>
      </c>
      <c r="L14" s="35">
        <v>0</v>
      </c>
      <c r="M14" s="35"/>
    </row>
    <row r="15" spans="1:13" outlineLevel="2">
      <c r="A15" s="32" t="s">
        <v>57</v>
      </c>
      <c r="B15" s="33" t="s">
        <v>58</v>
      </c>
      <c r="C15" s="34" t="s">
        <v>17</v>
      </c>
      <c r="D15" s="34" t="s">
        <v>59</v>
      </c>
      <c r="E15" s="34" t="s">
        <v>60</v>
      </c>
      <c r="F15" s="11">
        <v>1905</v>
      </c>
      <c r="G15" s="11" t="s">
        <v>61</v>
      </c>
      <c r="H15" s="35">
        <v>36512</v>
      </c>
      <c r="I15" s="35"/>
      <c r="J15" s="36">
        <v>1</v>
      </c>
      <c r="K15" s="35">
        <f t="shared" si="0"/>
        <v>36512</v>
      </c>
      <c r="L15" s="35">
        <v>0</v>
      </c>
      <c r="M15" s="35"/>
    </row>
    <row r="16" spans="1:13" outlineLevel="2">
      <c r="A16" s="32" t="s">
        <v>62</v>
      </c>
      <c r="B16" s="33" t="s">
        <v>63</v>
      </c>
      <c r="C16" s="34" t="s">
        <v>17</v>
      </c>
      <c r="D16" s="34" t="s">
        <v>64</v>
      </c>
      <c r="E16" s="34" t="s">
        <v>65</v>
      </c>
      <c r="F16" s="11">
        <v>1836</v>
      </c>
      <c r="G16" s="11" t="s">
        <v>66</v>
      </c>
      <c r="H16" s="35">
        <v>28050</v>
      </c>
      <c r="I16" s="35"/>
      <c r="J16" s="36">
        <v>1</v>
      </c>
      <c r="K16" s="35">
        <f t="shared" si="0"/>
        <v>28050</v>
      </c>
      <c r="L16" s="35">
        <v>1</v>
      </c>
      <c r="M16" s="35"/>
    </row>
    <row r="17" spans="1:13" outlineLevel="2">
      <c r="A17" s="32" t="s">
        <v>67</v>
      </c>
      <c r="B17" s="33" t="s">
        <v>68</v>
      </c>
      <c r="C17" s="34" t="s">
        <v>17</v>
      </c>
      <c r="D17" s="34" t="s">
        <v>69</v>
      </c>
      <c r="E17" s="34" t="s">
        <v>70</v>
      </c>
      <c r="F17" s="11">
        <v>1891</v>
      </c>
      <c r="G17" s="11" t="s">
        <v>71</v>
      </c>
      <c r="H17" s="35">
        <v>30000</v>
      </c>
      <c r="I17" s="35"/>
      <c r="J17" s="36">
        <v>1</v>
      </c>
      <c r="K17" s="35">
        <f t="shared" si="0"/>
        <v>30000</v>
      </c>
      <c r="L17" s="35">
        <v>1</v>
      </c>
      <c r="M17" s="35"/>
    </row>
    <row r="18" spans="1:13" outlineLevel="2">
      <c r="A18" s="32" t="s">
        <v>72</v>
      </c>
      <c r="B18" s="33" t="s">
        <v>73</v>
      </c>
      <c r="C18" s="34" t="s">
        <v>17</v>
      </c>
      <c r="D18" s="34" t="s">
        <v>74</v>
      </c>
      <c r="E18" s="34"/>
      <c r="F18" s="11" t="s">
        <v>75</v>
      </c>
      <c r="G18" s="13">
        <v>1966</v>
      </c>
      <c r="H18" s="35">
        <v>2500</v>
      </c>
      <c r="I18" s="35"/>
      <c r="J18" s="36">
        <v>1</v>
      </c>
      <c r="K18" s="35">
        <f t="shared" si="0"/>
        <v>2500</v>
      </c>
      <c r="L18" s="35">
        <v>0</v>
      </c>
      <c r="M18" s="35"/>
    </row>
    <row r="19" spans="1:13" ht="25.5" outlineLevel="2">
      <c r="A19" s="32" t="s">
        <v>76</v>
      </c>
      <c r="B19" s="33" t="s">
        <v>77</v>
      </c>
      <c r="C19" s="34" t="s">
        <v>17</v>
      </c>
      <c r="D19" s="34" t="s">
        <v>78</v>
      </c>
      <c r="E19" s="34" t="s">
        <v>79</v>
      </c>
      <c r="F19" s="11" t="s">
        <v>20</v>
      </c>
      <c r="G19" s="11" t="s">
        <v>80</v>
      </c>
      <c r="H19" s="35">
        <v>53539</v>
      </c>
      <c r="I19" s="35"/>
      <c r="J19" s="36">
        <v>1</v>
      </c>
      <c r="K19" s="35">
        <f t="shared" si="0"/>
        <v>53539</v>
      </c>
      <c r="L19" s="35">
        <v>1</v>
      </c>
      <c r="M19" s="35"/>
    </row>
    <row r="20" spans="1:13" outlineLevel="2">
      <c r="A20" s="32" t="s">
        <v>81</v>
      </c>
      <c r="B20" s="33" t="s">
        <v>82</v>
      </c>
      <c r="C20" s="34" t="s">
        <v>17</v>
      </c>
      <c r="D20" s="34" t="s">
        <v>83</v>
      </c>
      <c r="E20" s="34" t="s">
        <v>84</v>
      </c>
      <c r="F20" s="11" t="s">
        <v>85</v>
      </c>
      <c r="G20" s="11">
        <v>1998</v>
      </c>
      <c r="H20" s="35">
        <v>1511</v>
      </c>
      <c r="I20" s="35"/>
      <c r="J20" s="36">
        <v>1</v>
      </c>
      <c r="K20" s="35">
        <f t="shared" si="0"/>
        <v>1511</v>
      </c>
      <c r="L20" s="35"/>
      <c r="M20" s="35"/>
    </row>
    <row r="21" spans="1:13" outlineLevel="2">
      <c r="A21" s="32" t="s">
        <v>86</v>
      </c>
      <c r="B21" s="33" t="s">
        <v>87</v>
      </c>
      <c r="C21" s="34" t="s">
        <v>17</v>
      </c>
      <c r="D21" s="34" t="s">
        <v>88</v>
      </c>
      <c r="E21" s="34" t="s">
        <v>89</v>
      </c>
      <c r="F21" s="11">
        <v>1837</v>
      </c>
      <c r="G21" s="11" t="s">
        <v>90</v>
      </c>
      <c r="H21" s="35">
        <v>11039</v>
      </c>
      <c r="I21" s="35"/>
      <c r="J21" s="36">
        <v>0.3</v>
      </c>
      <c r="K21" s="35">
        <f t="shared" si="0"/>
        <v>3311.7</v>
      </c>
      <c r="L21" s="35">
        <v>1</v>
      </c>
      <c r="M21" s="35"/>
    </row>
    <row r="22" spans="1:13" ht="38.25" outlineLevel="2">
      <c r="A22" s="32" t="s">
        <v>91</v>
      </c>
      <c r="B22" s="33" t="s">
        <v>92</v>
      </c>
      <c r="C22" s="34" t="s">
        <v>17</v>
      </c>
      <c r="D22" s="42" t="s">
        <v>93</v>
      </c>
      <c r="E22" s="34" t="s">
        <v>94</v>
      </c>
      <c r="F22" s="11">
        <v>2007</v>
      </c>
      <c r="G22" s="11" t="s">
        <v>56</v>
      </c>
      <c r="H22" s="35">
        <v>112800</v>
      </c>
      <c r="I22" s="35"/>
      <c r="J22" s="36">
        <v>1</v>
      </c>
      <c r="K22" s="35">
        <f t="shared" si="0"/>
        <v>112800</v>
      </c>
      <c r="L22" s="35">
        <v>0</v>
      </c>
      <c r="M22" s="35"/>
    </row>
    <row r="23" spans="1:13" outlineLevel="2">
      <c r="A23" s="32" t="s">
        <v>95</v>
      </c>
      <c r="B23" s="33" t="s">
        <v>96</v>
      </c>
      <c r="C23" s="34" t="s">
        <v>17</v>
      </c>
      <c r="D23" s="34" t="s">
        <v>97</v>
      </c>
      <c r="E23" s="34" t="s">
        <v>98</v>
      </c>
      <c r="F23" s="11">
        <v>1885</v>
      </c>
      <c r="G23" s="11" t="s">
        <v>99</v>
      </c>
      <c r="H23" s="35">
        <v>22000</v>
      </c>
      <c r="I23" s="35"/>
      <c r="J23" s="36">
        <v>1</v>
      </c>
      <c r="K23" s="35">
        <f t="shared" si="0"/>
        <v>22000</v>
      </c>
      <c r="L23" s="35">
        <v>1</v>
      </c>
      <c r="M23" s="35"/>
    </row>
    <row r="24" spans="1:13" ht="25.5" outlineLevel="2">
      <c r="A24" s="32" t="s">
        <v>100</v>
      </c>
      <c r="B24" s="33" t="s">
        <v>101</v>
      </c>
      <c r="C24" s="34" t="s">
        <v>17</v>
      </c>
      <c r="D24" s="34" t="s">
        <v>102</v>
      </c>
      <c r="E24" s="34" t="s">
        <v>103</v>
      </c>
      <c r="F24" s="11">
        <v>2000</v>
      </c>
      <c r="G24" s="11" t="s">
        <v>56</v>
      </c>
      <c r="H24" s="35">
        <v>52000</v>
      </c>
      <c r="I24" s="35"/>
      <c r="J24" s="36">
        <v>1</v>
      </c>
      <c r="K24" s="35">
        <f t="shared" si="0"/>
        <v>52000</v>
      </c>
      <c r="L24" s="35">
        <v>0</v>
      </c>
      <c r="M24" s="35"/>
    </row>
    <row r="25" spans="1:13" outlineLevel="2">
      <c r="A25" s="32" t="s">
        <v>104</v>
      </c>
      <c r="B25" s="33" t="s">
        <v>105</v>
      </c>
      <c r="C25" s="34" t="s">
        <v>17</v>
      </c>
      <c r="D25" s="34" t="s">
        <v>106</v>
      </c>
      <c r="E25" s="34" t="s">
        <v>107</v>
      </c>
      <c r="F25" s="11" t="s">
        <v>108</v>
      </c>
      <c r="G25" s="11" t="s">
        <v>56</v>
      </c>
      <c r="H25" s="35">
        <v>120000</v>
      </c>
      <c r="I25" s="35"/>
      <c r="J25" s="36">
        <v>1</v>
      </c>
      <c r="K25" s="35">
        <f t="shared" si="0"/>
        <v>120000</v>
      </c>
      <c r="L25" s="35">
        <v>1</v>
      </c>
      <c r="M25" s="35"/>
    </row>
    <row r="26" spans="1:13" outlineLevel="2">
      <c r="A26" s="43" t="s">
        <v>109</v>
      </c>
      <c r="B26" s="44" t="s">
        <v>110</v>
      </c>
      <c r="C26" s="45" t="s">
        <v>17</v>
      </c>
      <c r="D26" s="45" t="s">
        <v>111</v>
      </c>
      <c r="E26" s="45" t="s">
        <v>112</v>
      </c>
      <c r="F26" s="14">
        <v>1929</v>
      </c>
      <c r="G26" s="14" t="s">
        <v>113</v>
      </c>
      <c r="H26" s="46">
        <v>52008</v>
      </c>
      <c r="I26" s="46"/>
      <c r="J26" s="47">
        <v>1</v>
      </c>
      <c r="K26" s="46">
        <f t="shared" si="0"/>
        <v>52008</v>
      </c>
      <c r="L26" s="46">
        <v>1</v>
      </c>
      <c r="M26" s="46"/>
    </row>
    <row r="27" spans="1:13" s="52" customFormat="1" outlineLevel="1">
      <c r="A27" s="48"/>
      <c r="B27" s="105" t="s">
        <v>114</v>
      </c>
      <c r="C27" s="106"/>
      <c r="D27" s="106"/>
      <c r="E27" s="106"/>
      <c r="F27" s="106"/>
      <c r="G27" s="106"/>
      <c r="H27" s="49">
        <f>SUM(H6:H26)</f>
        <v>645555</v>
      </c>
      <c r="I27" s="49">
        <f>COUNT(H6:H26)-1</f>
        <v>20</v>
      </c>
      <c r="J27" s="50"/>
      <c r="K27" s="49">
        <f>SUM(K6:K26)</f>
        <v>625338.69999999995</v>
      </c>
      <c r="L27" s="49">
        <f>SUM(L6:L26)</f>
        <v>14</v>
      </c>
      <c r="M27" s="51">
        <f>SUM(L27/I27)</f>
        <v>0.7</v>
      </c>
    </row>
    <row r="28" spans="1:13" outlineLevel="2">
      <c r="A28" s="53" t="s">
        <v>115</v>
      </c>
      <c r="B28" s="54" t="s">
        <v>116</v>
      </c>
      <c r="C28" s="55" t="s">
        <v>117</v>
      </c>
      <c r="D28" s="55" t="s">
        <v>118</v>
      </c>
      <c r="E28" s="20" t="s">
        <v>119</v>
      </c>
      <c r="F28" s="17" t="s">
        <v>20</v>
      </c>
      <c r="G28" s="15" t="s">
        <v>120</v>
      </c>
      <c r="H28" s="40">
        <v>4000</v>
      </c>
      <c r="I28" s="40"/>
      <c r="J28" s="41">
        <v>0</v>
      </c>
      <c r="K28" s="40">
        <f>SUM(J28*H28)</f>
        <v>0</v>
      </c>
      <c r="L28" s="40">
        <v>0</v>
      </c>
      <c r="M28" s="40"/>
    </row>
    <row r="29" spans="1:13" s="52" customFormat="1" outlineLevel="1">
      <c r="A29" s="48"/>
      <c r="B29" s="105" t="s">
        <v>121</v>
      </c>
      <c r="C29" s="106"/>
      <c r="D29" s="106"/>
      <c r="E29" s="106"/>
      <c r="F29" s="106"/>
      <c r="G29" s="106"/>
      <c r="H29" s="49">
        <f>SUM(H28)</f>
        <v>4000</v>
      </c>
      <c r="I29" s="49">
        <f>COUNT(H28)</f>
        <v>1</v>
      </c>
      <c r="J29" s="50"/>
      <c r="K29" s="49">
        <f>SUM(K28)</f>
        <v>0</v>
      </c>
      <c r="L29" s="49">
        <f>SUM(L28)</f>
        <v>0</v>
      </c>
      <c r="M29" s="51">
        <f>SUM(L29/I29)</f>
        <v>0</v>
      </c>
    </row>
    <row r="30" spans="1:13" s="52" customFormat="1">
      <c r="A30" s="56"/>
      <c r="B30" s="102" t="s">
        <v>122</v>
      </c>
      <c r="C30" s="103"/>
      <c r="D30" s="103"/>
      <c r="E30" s="103"/>
      <c r="F30" s="103"/>
      <c r="G30" s="103"/>
      <c r="H30" s="57">
        <f>SUM(H29,H27)</f>
        <v>649555</v>
      </c>
      <c r="I30" s="57">
        <f>SUM(I27,I29)</f>
        <v>21</v>
      </c>
      <c r="J30" s="58"/>
      <c r="K30" s="57">
        <f>SUM(K29,K27)</f>
        <v>625338.69999999995</v>
      </c>
      <c r="L30" s="57">
        <f>SUM(L29,L27)</f>
        <v>14</v>
      </c>
      <c r="M30" s="59">
        <f>SUM(L30/I30)</f>
        <v>0.66666666666666663</v>
      </c>
    </row>
    <row r="31" spans="1:13" outlineLevel="2">
      <c r="A31" s="32" t="s">
        <v>123</v>
      </c>
      <c r="B31" s="33" t="s">
        <v>124</v>
      </c>
      <c r="C31" s="34" t="s">
        <v>125</v>
      </c>
      <c r="D31" s="34" t="s">
        <v>126</v>
      </c>
      <c r="E31" s="34" t="s">
        <v>124</v>
      </c>
      <c r="F31" s="11" t="s">
        <v>20</v>
      </c>
      <c r="G31" s="11" t="s">
        <v>127</v>
      </c>
      <c r="H31" s="35">
        <v>2200</v>
      </c>
      <c r="I31" s="35"/>
      <c r="J31" s="36">
        <v>0</v>
      </c>
      <c r="K31" s="35">
        <f>SUM(J31*H31)</f>
        <v>0</v>
      </c>
      <c r="L31" s="35"/>
      <c r="M31" s="35"/>
    </row>
    <row r="32" spans="1:13" ht="25.5" outlineLevel="2">
      <c r="A32" s="32" t="s">
        <v>128</v>
      </c>
      <c r="B32" s="33" t="s">
        <v>129</v>
      </c>
      <c r="C32" s="39" t="s">
        <v>125</v>
      </c>
      <c r="D32" s="34" t="s">
        <v>130</v>
      </c>
      <c r="E32" s="34" t="s">
        <v>129</v>
      </c>
      <c r="F32" s="11" t="s">
        <v>20</v>
      </c>
      <c r="G32" s="11">
        <v>1994</v>
      </c>
      <c r="H32" s="35">
        <v>75000</v>
      </c>
      <c r="I32" s="35"/>
      <c r="J32" s="36">
        <v>1</v>
      </c>
      <c r="K32" s="35">
        <f t="shared" ref="K32:K43" si="1">SUM(J32*H32)</f>
        <v>75000</v>
      </c>
      <c r="L32" s="35">
        <v>0</v>
      </c>
      <c r="M32" s="35"/>
    </row>
    <row r="33" spans="1:13" outlineLevel="2">
      <c r="A33" s="32" t="s">
        <v>131</v>
      </c>
      <c r="B33" s="33" t="s">
        <v>132</v>
      </c>
      <c r="C33" s="39" t="s">
        <v>125</v>
      </c>
      <c r="D33" s="34" t="s">
        <v>133</v>
      </c>
      <c r="E33" s="34" t="s">
        <v>132</v>
      </c>
      <c r="F33" s="11" t="s">
        <v>85</v>
      </c>
      <c r="G33" s="11">
        <v>1998</v>
      </c>
      <c r="H33" s="35">
        <v>27100</v>
      </c>
      <c r="I33" s="35"/>
      <c r="J33" s="36">
        <v>1</v>
      </c>
      <c r="K33" s="35">
        <f t="shared" si="1"/>
        <v>27100</v>
      </c>
      <c r="L33" s="35">
        <v>1</v>
      </c>
      <c r="M33" s="35"/>
    </row>
    <row r="34" spans="1:13" outlineLevel="2">
      <c r="A34" s="32" t="s">
        <v>134</v>
      </c>
      <c r="B34" s="33" t="s">
        <v>135</v>
      </c>
      <c r="C34" s="39" t="s">
        <v>125</v>
      </c>
      <c r="D34" s="34" t="s">
        <v>136</v>
      </c>
      <c r="E34" s="34" t="s">
        <v>135</v>
      </c>
      <c r="F34" s="11" t="s">
        <v>20</v>
      </c>
      <c r="G34" s="11" t="s">
        <v>137</v>
      </c>
      <c r="H34" s="35">
        <v>1440</v>
      </c>
      <c r="I34" s="35"/>
      <c r="J34" s="36">
        <v>0</v>
      </c>
      <c r="K34" s="35">
        <f>SUM(J34*H34)</f>
        <v>0</v>
      </c>
      <c r="L34" s="35">
        <v>1</v>
      </c>
      <c r="M34" s="35"/>
    </row>
    <row r="35" spans="1:13" outlineLevel="2">
      <c r="A35" s="32" t="s">
        <v>138</v>
      </c>
      <c r="B35" s="33" t="s">
        <v>139</v>
      </c>
      <c r="C35" s="39" t="s">
        <v>125</v>
      </c>
      <c r="D35" s="34" t="s">
        <v>140</v>
      </c>
      <c r="E35" s="34" t="s">
        <v>139</v>
      </c>
      <c r="F35" s="11" t="s">
        <v>20</v>
      </c>
      <c r="G35" s="11" t="s">
        <v>141</v>
      </c>
      <c r="H35" s="35">
        <v>2000</v>
      </c>
      <c r="I35" s="35"/>
      <c r="J35" s="36">
        <v>0.5</v>
      </c>
      <c r="K35" s="35">
        <f>SUM(J35*H35)</f>
        <v>1000</v>
      </c>
      <c r="L35" s="35">
        <v>1</v>
      </c>
      <c r="M35" s="35"/>
    </row>
    <row r="36" spans="1:13" outlineLevel="2">
      <c r="A36" s="32" t="s">
        <v>76</v>
      </c>
      <c r="B36" s="33" t="s">
        <v>77</v>
      </c>
      <c r="C36" s="39" t="s">
        <v>125</v>
      </c>
      <c r="D36" s="34" t="s">
        <v>142</v>
      </c>
      <c r="E36" s="34" t="s">
        <v>143</v>
      </c>
      <c r="F36" s="11" t="s">
        <v>20</v>
      </c>
      <c r="G36" s="11" t="s">
        <v>80</v>
      </c>
      <c r="H36" s="35">
        <f>5723+1446</f>
        <v>7169</v>
      </c>
      <c r="I36" s="35"/>
      <c r="J36" s="36">
        <v>1</v>
      </c>
      <c r="K36" s="35">
        <f t="shared" si="1"/>
        <v>7169</v>
      </c>
      <c r="L36" s="35"/>
      <c r="M36" s="35"/>
    </row>
    <row r="37" spans="1:13" outlineLevel="2">
      <c r="A37" s="32" t="s">
        <v>76</v>
      </c>
      <c r="B37" s="33" t="s">
        <v>77</v>
      </c>
      <c r="C37" s="39" t="s">
        <v>125</v>
      </c>
      <c r="D37" s="34" t="s">
        <v>144</v>
      </c>
      <c r="E37" s="34" t="s">
        <v>145</v>
      </c>
      <c r="F37" s="11" t="s">
        <v>20</v>
      </c>
      <c r="G37" s="11" t="s">
        <v>80</v>
      </c>
      <c r="H37" s="35">
        <v>17307</v>
      </c>
      <c r="I37" s="35"/>
      <c r="J37" s="36">
        <v>0</v>
      </c>
      <c r="K37" s="35">
        <f>SUM(J37*H37)</f>
        <v>0</v>
      </c>
      <c r="L37" s="35"/>
      <c r="M37" s="35"/>
    </row>
    <row r="38" spans="1:13" ht="38.25" outlineLevel="2">
      <c r="A38" s="32" t="s">
        <v>146</v>
      </c>
      <c r="B38" s="33" t="s">
        <v>147</v>
      </c>
      <c r="C38" s="39" t="s">
        <v>125</v>
      </c>
      <c r="D38" s="34" t="s">
        <v>148</v>
      </c>
      <c r="E38" s="34" t="s">
        <v>149</v>
      </c>
      <c r="F38" s="11">
        <v>1803</v>
      </c>
      <c r="G38" s="11" t="s">
        <v>56</v>
      </c>
      <c r="H38" s="35">
        <v>30208</v>
      </c>
      <c r="I38" s="35"/>
      <c r="J38" s="36">
        <v>0.3</v>
      </c>
      <c r="K38" s="35">
        <f t="shared" si="1"/>
        <v>9062.4</v>
      </c>
      <c r="L38" s="35">
        <v>1</v>
      </c>
      <c r="M38" s="35"/>
    </row>
    <row r="39" spans="1:13" outlineLevel="2">
      <c r="A39" s="32" t="s">
        <v>150</v>
      </c>
      <c r="B39" s="33" t="s">
        <v>151</v>
      </c>
      <c r="C39" s="39" t="s">
        <v>125</v>
      </c>
      <c r="D39" s="34" t="s">
        <v>152</v>
      </c>
      <c r="E39" s="34" t="s">
        <v>153</v>
      </c>
      <c r="F39" s="11">
        <v>1900</v>
      </c>
      <c r="G39" s="11">
        <v>1985</v>
      </c>
      <c r="H39" s="35">
        <v>2540</v>
      </c>
      <c r="I39" s="35"/>
      <c r="J39" s="36">
        <v>0.5</v>
      </c>
      <c r="K39" s="35">
        <f t="shared" si="1"/>
        <v>1270</v>
      </c>
      <c r="L39" s="35">
        <v>1</v>
      </c>
      <c r="M39" s="35"/>
    </row>
    <row r="40" spans="1:13" outlineLevel="2">
      <c r="A40" s="32" t="s">
        <v>154</v>
      </c>
      <c r="B40" s="33" t="s">
        <v>155</v>
      </c>
      <c r="C40" s="39" t="s">
        <v>125</v>
      </c>
      <c r="D40" s="34" t="s">
        <v>156</v>
      </c>
      <c r="E40" s="34" t="s">
        <v>157</v>
      </c>
      <c r="F40" s="11">
        <v>1949</v>
      </c>
      <c r="G40" s="11">
        <v>1957</v>
      </c>
      <c r="H40" s="35">
        <v>1800</v>
      </c>
      <c r="I40" s="35"/>
      <c r="J40" s="36">
        <v>0.5</v>
      </c>
      <c r="K40" s="35">
        <f t="shared" si="1"/>
        <v>900</v>
      </c>
      <c r="L40" s="35">
        <v>1</v>
      </c>
      <c r="M40" s="35"/>
    </row>
    <row r="41" spans="1:13" outlineLevel="2">
      <c r="A41" s="32" t="s">
        <v>158</v>
      </c>
      <c r="B41" s="33" t="s">
        <v>159</v>
      </c>
      <c r="C41" s="39" t="s">
        <v>125</v>
      </c>
      <c r="D41" s="34" t="s">
        <v>160</v>
      </c>
      <c r="E41" s="34" t="s">
        <v>161</v>
      </c>
      <c r="F41" s="11">
        <v>1948</v>
      </c>
      <c r="G41" s="11" t="s">
        <v>56</v>
      </c>
      <c r="H41" s="35">
        <v>10566</v>
      </c>
      <c r="I41" s="35"/>
      <c r="J41" s="36">
        <v>0.5</v>
      </c>
      <c r="K41" s="35">
        <f t="shared" si="1"/>
        <v>5283</v>
      </c>
      <c r="L41" s="35">
        <v>0</v>
      </c>
      <c r="M41" s="35"/>
    </row>
    <row r="42" spans="1:13" outlineLevel="2">
      <c r="A42" s="32" t="s">
        <v>162</v>
      </c>
      <c r="B42" s="33" t="s">
        <v>163</v>
      </c>
      <c r="C42" s="39" t="s">
        <v>125</v>
      </c>
      <c r="D42" s="34" t="s">
        <v>164</v>
      </c>
      <c r="E42" s="34" t="s">
        <v>165</v>
      </c>
      <c r="F42" s="11">
        <v>1948</v>
      </c>
      <c r="G42" s="11" t="s">
        <v>56</v>
      </c>
      <c r="H42" s="35">
        <v>21166</v>
      </c>
      <c r="I42" s="35"/>
      <c r="J42" s="36">
        <v>0.5</v>
      </c>
      <c r="K42" s="35">
        <f t="shared" si="1"/>
        <v>10583</v>
      </c>
      <c r="L42" s="35">
        <v>0</v>
      </c>
      <c r="M42" s="35"/>
    </row>
    <row r="43" spans="1:13" outlineLevel="2">
      <c r="A43" s="43" t="s">
        <v>166</v>
      </c>
      <c r="B43" s="60" t="s">
        <v>167</v>
      </c>
      <c r="C43" s="39" t="s">
        <v>125</v>
      </c>
      <c r="D43" s="61" t="s">
        <v>168</v>
      </c>
      <c r="E43" s="61" t="s">
        <v>169</v>
      </c>
      <c r="F43" s="16">
        <v>1912</v>
      </c>
      <c r="G43" s="16" t="s">
        <v>170</v>
      </c>
      <c r="H43" s="62">
        <v>14040</v>
      </c>
      <c r="I43" s="62"/>
      <c r="J43" s="63">
        <v>0.5</v>
      </c>
      <c r="K43" s="62">
        <f t="shared" si="1"/>
        <v>7020</v>
      </c>
      <c r="L43" s="62">
        <v>1</v>
      </c>
      <c r="M43" s="62"/>
    </row>
    <row r="44" spans="1:13" s="52" customFormat="1">
      <c r="A44" s="64"/>
      <c r="B44" s="102" t="s">
        <v>171</v>
      </c>
      <c r="C44" s="103"/>
      <c r="D44" s="103"/>
      <c r="E44" s="103"/>
      <c r="F44" s="103"/>
      <c r="G44" s="103"/>
      <c r="H44" s="57">
        <f>SUM(H32:H43)</f>
        <v>210336</v>
      </c>
      <c r="I44" s="57">
        <f>COUNT(H32:H43)-1</f>
        <v>11</v>
      </c>
      <c r="J44" s="58"/>
      <c r="K44" s="57">
        <f>SUM(K32:K43)</f>
        <v>144387.4</v>
      </c>
      <c r="L44" s="57">
        <f>SUM(L32:L43)</f>
        <v>7</v>
      </c>
      <c r="M44" s="59">
        <f>SUM(L44/I44)</f>
        <v>0.63636363636363635</v>
      </c>
    </row>
    <row r="45" spans="1:13" outlineLevel="2">
      <c r="A45" s="37" t="s">
        <v>172</v>
      </c>
      <c r="B45" s="38" t="s">
        <v>173</v>
      </c>
      <c r="C45" s="39" t="s">
        <v>174</v>
      </c>
      <c r="D45" s="39"/>
      <c r="E45" s="39" t="s">
        <v>173</v>
      </c>
      <c r="F45" s="12">
        <v>1890</v>
      </c>
      <c r="G45" s="12" t="s">
        <v>175</v>
      </c>
      <c r="H45" s="40">
        <v>2272</v>
      </c>
      <c r="I45" s="40"/>
      <c r="J45" s="41">
        <v>0</v>
      </c>
      <c r="K45" s="40">
        <f>SUM(J45*H45)</f>
        <v>0</v>
      </c>
      <c r="L45" s="40"/>
      <c r="M45" s="40"/>
    </row>
    <row r="46" spans="1:13" outlineLevel="2">
      <c r="A46" s="32" t="s">
        <v>176</v>
      </c>
      <c r="B46" s="33" t="s">
        <v>177</v>
      </c>
      <c r="C46" s="39" t="s">
        <v>174</v>
      </c>
      <c r="D46" s="34"/>
      <c r="E46" s="34" t="s">
        <v>177</v>
      </c>
      <c r="F46" s="11">
        <v>1910</v>
      </c>
      <c r="G46" s="11" t="s">
        <v>178</v>
      </c>
      <c r="H46" s="35">
        <v>1476</v>
      </c>
      <c r="I46" s="35"/>
      <c r="J46" s="36">
        <v>0</v>
      </c>
      <c r="K46" s="35">
        <f t="shared" ref="K46:K77" si="2">SUM(J46*H46)</f>
        <v>0</v>
      </c>
      <c r="L46" s="35"/>
      <c r="M46" s="35"/>
    </row>
    <row r="47" spans="1:13" outlineLevel="2">
      <c r="A47" s="32" t="s">
        <v>179</v>
      </c>
      <c r="B47" s="33" t="s">
        <v>180</v>
      </c>
      <c r="C47" s="39" t="s">
        <v>174</v>
      </c>
      <c r="D47" s="34"/>
      <c r="E47" s="34" t="s">
        <v>180</v>
      </c>
      <c r="F47" s="11" t="s">
        <v>181</v>
      </c>
      <c r="G47" s="11">
        <v>2001</v>
      </c>
      <c r="H47" s="35">
        <v>1900</v>
      </c>
      <c r="I47" s="35"/>
      <c r="J47" s="36">
        <v>0</v>
      </c>
      <c r="K47" s="35">
        <f>SUM(J47*H47)</f>
        <v>0</v>
      </c>
      <c r="L47" s="35"/>
      <c r="M47" s="35"/>
    </row>
    <row r="48" spans="1:13" outlineLevel="2">
      <c r="A48" s="32" t="s">
        <v>182</v>
      </c>
      <c r="B48" s="33" t="s">
        <v>183</v>
      </c>
      <c r="C48" s="34" t="s">
        <v>174</v>
      </c>
      <c r="D48" s="34"/>
      <c r="E48" s="34" t="s">
        <v>183</v>
      </c>
      <c r="F48" s="11">
        <v>1910</v>
      </c>
      <c r="G48" s="11" t="s">
        <v>184</v>
      </c>
      <c r="H48" s="35">
        <v>1728</v>
      </c>
      <c r="I48" s="35"/>
      <c r="J48" s="36">
        <v>0</v>
      </c>
      <c r="K48" s="35">
        <f t="shared" si="2"/>
        <v>0</v>
      </c>
      <c r="L48" s="35"/>
      <c r="M48" s="35"/>
    </row>
    <row r="49" spans="1:13" outlineLevel="2">
      <c r="A49" s="32" t="s">
        <v>185</v>
      </c>
      <c r="B49" s="33" t="s">
        <v>186</v>
      </c>
      <c r="C49" s="34" t="s">
        <v>174</v>
      </c>
      <c r="D49" s="34"/>
      <c r="E49" s="34" t="s">
        <v>186</v>
      </c>
      <c r="F49" s="11" t="s">
        <v>85</v>
      </c>
      <c r="G49" s="11">
        <v>2006</v>
      </c>
      <c r="H49" s="35">
        <v>4000</v>
      </c>
      <c r="I49" s="35"/>
      <c r="J49" s="36">
        <v>0</v>
      </c>
      <c r="K49" s="35">
        <f t="shared" si="2"/>
        <v>0</v>
      </c>
      <c r="L49" s="35"/>
      <c r="M49" s="35"/>
    </row>
    <row r="50" spans="1:13" outlineLevel="2">
      <c r="A50" s="32" t="s">
        <v>187</v>
      </c>
      <c r="B50" s="33" t="s">
        <v>188</v>
      </c>
      <c r="C50" s="34" t="s">
        <v>174</v>
      </c>
      <c r="D50" s="34"/>
      <c r="E50" s="34" t="s">
        <v>188</v>
      </c>
      <c r="F50" s="11" t="s">
        <v>85</v>
      </c>
      <c r="G50" s="11">
        <v>1986</v>
      </c>
      <c r="H50" s="35">
        <v>4500</v>
      </c>
      <c r="I50" s="35"/>
      <c r="J50" s="36">
        <v>0</v>
      </c>
      <c r="K50" s="35">
        <f t="shared" si="2"/>
        <v>0</v>
      </c>
      <c r="L50" s="35"/>
      <c r="M50" s="35"/>
    </row>
    <row r="51" spans="1:13" outlineLevel="2">
      <c r="A51" s="32" t="s">
        <v>189</v>
      </c>
      <c r="B51" s="33" t="s">
        <v>190</v>
      </c>
      <c r="C51" s="34" t="s">
        <v>174</v>
      </c>
      <c r="D51" s="34"/>
      <c r="E51" s="34" t="s">
        <v>191</v>
      </c>
      <c r="F51" s="11" t="s">
        <v>85</v>
      </c>
      <c r="G51" s="11">
        <v>1998</v>
      </c>
      <c r="H51" s="35">
        <v>4550</v>
      </c>
      <c r="I51" s="35"/>
      <c r="J51" s="36">
        <v>0</v>
      </c>
      <c r="K51" s="35">
        <f t="shared" si="2"/>
        <v>0</v>
      </c>
      <c r="L51" s="35"/>
      <c r="M51" s="35"/>
    </row>
    <row r="52" spans="1:13" outlineLevel="2">
      <c r="A52" s="32" t="s">
        <v>192</v>
      </c>
      <c r="B52" s="33" t="s">
        <v>193</v>
      </c>
      <c r="C52" s="34" t="s">
        <v>174</v>
      </c>
      <c r="D52" s="34"/>
      <c r="E52" s="34" t="s">
        <v>194</v>
      </c>
      <c r="F52" s="11" t="s">
        <v>85</v>
      </c>
      <c r="G52" s="11">
        <v>1998</v>
      </c>
      <c r="H52" s="35">
        <v>4550</v>
      </c>
      <c r="I52" s="35"/>
      <c r="J52" s="36">
        <v>0</v>
      </c>
      <c r="K52" s="35">
        <f t="shared" si="2"/>
        <v>0</v>
      </c>
      <c r="L52" s="35"/>
      <c r="M52" s="35"/>
    </row>
    <row r="53" spans="1:13" outlineLevel="2">
      <c r="A53" s="32" t="s">
        <v>81</v>
      </c>
      <c r="B53" s="33" t="s">
        <v>84</v>
      </c>
      <c r="C53" s="34" t="s">
        <v>174</v>
      </c>
      <c r="D53" s="34"/>
      <c r="E53" s="34" t="s">
        <v>84</v>
      </c>
      <c r="F53" s="11" t="s">
        <v>85</v>
      </c>
      <c r="G53" s="11">
        <v>1998</v>
      </c>
      <c r="H53" s="35">
        <f>3000-1511</f>
        <v>1489</v>
      </c>
      <c r="I53" s="35"/>
      <c r="J53" s="36">
        <v>0</v>
      </c>
      <c r="K53" s="35">
        <f t="shared" si="2"/>
        <v>0</v>
      </c>
      <c r="L53" s="35"/>
      <c r="M53" s="35"/>
    </row>
    <row r="54" spans="1:13" outlineLevel="2">
      <c r="A54" s="32" t="s">
        <v>195</v>
      </c>
      <c r="B54" s="33" t="s">
        <v>196</v>
      </c>
      <c r="C54" s="34" t="s">
        <v>174</v>
      </c>
      <c r="D54" s="34"/>
      <c r="E54" s="34" t="s">
        <v>196</v>
      </c>
      <c r="F54" s="11" t="s">
        <v>47</v>
      </c>
      <c r="G54" s="11" t="s">
        <v>197</v>
      </c>
      <c r="H54" s="35">
        <v>2926</v>
      </c>
      <c r="I54" s="35"/>
      <c r="J54" s="36">
        <v>0</v>
      </c>
      <c r="K54" s="35">
        <f t="shared" si="2"/>
        <v>0</v>
      </c>
      <c r="L54" s="35"/>
      <c r="M54" s="35"/>
    </row>
    <row r="55" spans="1:13" outlineLevel="2">
      <c r="A55" s="32" t="s">
        <v>198</v>
      </c>
      <c r="B55" s="33" t="s">
        <v>199</v>
      </c>
      <c r="C55" s="34" t="s">
        <v>174</v>
      </c>
      <c r="D55" s="34"/>
      <c r="E55" s="34" t="s">
        <v>199</v>
      </c>
      <c r="F55" s="11" t="s">
        <v>85</v>
      </c>
      <c r="G55" s="11">
        <v>1998</v>
      </c>
      <c r="H55" s="35">
        <v>3000</v>
      </c>
      <c r="I55" s="35"/>
      <c r="J55" s="36">
        <v>0</v>
      </c>
      <c r="K55" s="35">
        <f t="shared" si="2"/>
        <v>0</v>
      </c>
      <c r="L55" s="35"/>
      <c r="M55" s="35"/>
    </row>
    <row r="56" spans="1:13" outlineLevel="2">
      <c r="A56" s="32" t="s">
        <v>200</v>
      </c>
      <c r="B56" s="33" t="s">
        <v>201</v>
      </c>
      <c r="C56" s="34" t="s">
        <v>174</v>
      </c>
      <c r="D56" s="34"/>
      <c r="E56" s="34" t="s">
        <v>201</v>
      </c>
      <c r="F56" s="11" t="s">
        <v>85</v>
      </c>
      <c r="G56" s="11" t="s">
        <v>202</v>
      </c>
      <c r="H56" s="35">
        <v>1729</v>
      </c>
      <c r="I56" s="35"/>
      <c r="J56" s="36">
        <v>0</v>
      </c>
      <c r="K56" s="35">
        <f t="shared" si="2"/>
        <v>0</v>
      </c>
      <c r="L56" s="35"/>
      <c r="M56" s="35"/>
    </row>
    <row r="57" spans="1:13" outlineLevel="2">
      <c r="A57" s="32" t="s">
        <v>203</v>
      </c>
      <c r="B57" s="33" t="s">
        <v>204</v>
      </c>
      <c r="C57" s="34" t="s">
        <v>174</v>
      </c>
      <c r="D57" s="65"/>
      <c r="E57" s="34" t="s">
        <v>204</v>
      </c>
      <c r="F57" s="11" t="s">
        <v>20</v>
      </c>
      <c r="G57" s="11" t="s">
        <v>205</v>
      </c>
      <c r="H57" s="35">
        <v>3675</v>
      </c>
      <c r="I57" s="35"/>
      <c r="J57" s="36">
        <v>0</v>
      </c>
      <c r="K57" s="35">
        <f>SUM(J57*H57)</f>
        <v>0</v>
      </c>
      <c r="L57" s="35"/>
      <c r="M57" s="35"/>
    </row>
    <row r="58" spans="1:13" outlineLevel="2">
      <c r="A58" s="32" t="s">
        <v>206</v>
      </c>
      <c r="B58" s="33" t="s">
        <v>207</v>
      </c>
      <c r="C58" s="34" t="s">
        <v>174</v>
      </c>
      <c r="D58" s="34"/>
      <c r="E58" s="34" t="s">
        <v>207</v>
      </c>
      <c r="F58" s="11">
        <v>1870</v>
      </c>
      <c r="G58" s="11" t="s">
        <v>208</v>
      </c>
      <c r="H58" s="35">
        <v>1462</v>
      </c>
      <c r="I58" s="35"/>
      <c r="J58" s="36">
        <v>0</v>
      </c>
      <c r="K58" s="35">
        <f t="shared" si="2"/>
        <v>0</v>
      </c>
      <c r="L58" s="35"/>
      <c r="M58" s="35"/>
    </row>
    <row r="59" spans="1:13" outlineLevel="2">
      <c r="A59" s="32" t="s">
        <v>209</v>
      </c>
      <c r="B59" s="33" t="s">
        <v>210</v>
      </c>
      <c r="C59" s="34" t="s">
        <v>174</v>
      </c>
      <c r="D59" s="34"/>
      <c r="E59" s="34" t="s">
        <v>210</v>
      </c>
      <c r="F59" s="11">
        <v>1874</v>
      </c>
      <c r="G59" s="11" t="s">
        <v>184</v>
      </c>
      <c r="H59" s="35">
        <v>1318</v>
      </c>
      <c r="I59" s="35"/>
      <c r="J59" s="36">
        <v>0</v>
      </c>
      <c r="K59" s="35">
        <f t="shared" si="2"/>
        <v>0</v>
      </c>
      <c r="L59" s="35"/>
      <c r="M59" s="35"/>
    </row>
    <row r="60" spans="1:13" outlineLevel="2">
      <c r="A60" s="32" t="s">
        <v>211</v>
      </c>
      <c r="B60" s="33" t="s">
        <v>212</v>
      </c>
      <c r="C60" s="34" t="s">
        <v>174</v>
      </c>
      <c r="D60" s="34"/>
      <c r="E60" s="34" t="s">
        <v>212</v>
      </c>
      <c r="F60" s="11">
        <v>1960</v>
      </c>
      <c r="G60" s="11" t="s">
        <v>213</v>
      </c>
      <c r="H60" s="35">
        <v>1500</v>
      </c>
      <c r="I60" s="35"/>
      <c r="J60" s="36">
        <v>0</v>
      </c>
      <c r="K60" s="35">
        <f t="shared" si="2"/>
        <v>0</v>
      </c>
      <c r="L60" s="35"/>
      <c r="M60" s="35"/>
    </row>
    <row r="61" spans="1:13" outlineLevel="2">
      <c r="A61" s="32" t="s">
        <v>214</v>
      </c>
      <c r="B61" s="33" t="s">
        <v>215</v>
      </c>
      <c r="C61" s="34" t="s">
        <v>174</v>
      </c>
      <c r="D61" s="34"/>
      <c r="E61" s="34" t="s">
        <v>215</v>
      </c>
      <c r="F61" s="11">
        <v>1910</v>
      </c>
      <c r="G61" s="11" t="s">
        <v>216</v>
      </c>
      <c r="H61" s="35">
        <v>1492</v>
      </c>
      <c r="I61" s="35"/>
      <c r="J61" s="36">
        <v>0</v>
      </c>
      <c r="K61" s="35">
        <f t="shared" si="2"/>
        <v>0</v>
      </c>
      <c r="L61" s="35"/>
      <c r="M61" s="35"/>
    </row>
    <row r="62" spans="1:13" outlineLevel="2">
      <c r="A62" s="32" t="s">
        <v>217</v>
      </c>
      <c r="B62" s="33" t="s">
        <v>218</v>
      </c>
      <c r="C62" s="34" t="s">
        <v>174</v>
      </c>
      <c r="D62" s="34"/>
      <c r="E62" s="34" t="s">
        <v>218</v>
      </c>
      <c r="F62" s="11">
        <v>1900</v>
      </c>
      <c r="G62" s="11" t="s">
        <v>219</v>
      </c>
      <c r="H62" s="35">
        <v>1492</v>
      </c>
      <c r="I62" s="35"/>
      <c r="J62" s="36">
        <v>0</v>
      </c>
      <c r="K62" s="35">
        <f t="shared" si="2"/>
        <v>0</v>
      </c>
      <c r="L62" s="35"/>
      <c r="M62" s="35"/>
    </row>
    <row r="63" spans="1:13" outlineLevel="2">
      <c r="A63" s="32" t="s">
        <v>220</v>
      </c>
      <c r="B63" s="33" t="s">
        <v>221</v>
      </c>
      <c r="C63" s="34" t="s">
        <v>174</v>
      </c>
      <c r="D63" s="34"/>
      <c r="E63" s="34" t="s">
        <v>221</v>
      </c>
      <c r="F63" s="11">
        <v>1902</v>
      </c>
      <c r="G63" s="11" t="s">
        <v>219</v>
      </c>
      <c r="H63" s="35">
        <v>1532</v>
      </c>
      <c r="I63" s="35"/>
      <c r="J63" s="36">
        <v>0</v>
      </c>
      <c r="K63" s="35">
        <f t="shared" si="2"/>
        <v>0</v>
      </c>
      <c r="L63" s="35"/>
      <c r="M63" s="35"/>
    </row>
    <row r="64" spans="1:13" outlineLevel="2">
      <c r="A64" s="32" t="s">
        <v>222</v>
      </c>
      <c r="B64" s="33" t="s">
        <v>223</v>
      </c>
      <c r="C64" s="34" t="s">
        <v>174</v>
      </c>
      <c r="D64" s="34"/>
      <c r="E64" s="34" t="s">
        <v>223</v>
      </c>
      <c r="F64" s="11">
        <v>1960</v>
      </c>
      <c r="G64" s="11" t="s">
        <v>213</v>
      </c>
      <c r="H64" s="35">
        <v>1500</v>
      </c>
      <c r="I64" s="35"/>
      <c r="J64" s="36">
        <v>0</v>
      </c>
      <c r="K64" s="35">
        <f t="shared" si="2"/>
        <v>0</v>
      </c>
      <c r="L64" s="35"/>
      <c r="M64" s="35"/>
    </row>
    <row r="65" spans="1:13" outlineLevel="2">
      <c r="A65" s="32" t="s">
        <v>224</v>
      </c>
      <c r="B65" s="33" t="s">
        <v>225</v>
      </c>
      <c r="C65" s="34" t="s">
        <v>174</v>
      </c>
      <c r="D65" s="34"/>
      <c r="E65" s="34" t="s">
        <v>225</v>
      </c>
      <c r="F65" s="11">
        <v>1910</v>
      </c>
      <c r="G65" s="11" t="s">
        <v>226</v>
      </c>
      <c r="H65" s="35">
        <v>1532</v>
      </c>
      <c r="I65" s="35"/>
      <c r="J65" s="36">
        <v>0</v>
      </c>
      <c r="K65" s="35">
        <f t="shared" si="2"/>
        <v>0</v>
      </c>
      <c r="L65" s="35"/>
      <c r="M65" s="35"/>
    </row>
    <row r="66" spans="1:13" outlineLevel="2">
      <c r="A66" s="32" t="s">
        <v>227</v>
      </c>
      <c r="B66" s="33" t="s">
        <v>228</v>
      </c>
      <c r="C66" s="34" t="s">
        <v>174</v>
      </c>
      <c r="D66" s="34"/>
      <c r="E66" s="34" t="s">
        <v>228</v>
      </c>
      <c r="F66" s="11">
        <v>1875</v>
      </c>
      <c r="G66" s="11" t="s">
        <v>229</v>
      </c>
      <c r="H66" s="35">
        <v>1268</v>
      </c>
      <c r="I66" s="35"/>
      <c r="J66" s="36">
        <v>0</v>
      </c>
      <c r="K66" s="35">
        <f t="shared" si="2"/>
        <v>0</v>
      </c>
      <c r="L66" s="35"/>
      <c r="M66" s="35"/>
    </row>
    <row r="67" spans="1:13" outlineLevel="2">
      <c r="A67" s="32" t="s">
        <v>227</v>
      </c>
      <c r="B67" s="33" t="s">
        <v>230</v>
      </c>
      <c r="C67" s="34" t="s">
        <v>174</v>
      </c>
      <c r="D67" s="34"/>
      <c r="E67" s="34" t="s">
        <v>230</v>
      </c>
      <c r="F67" s="11">
        <v>1910</v>
      </c>
      <c r="G67" s="11" t="s">
        <v>231</v>
      </c>
      <c r="H67" s="35">
        <v>1330</v>
      </c>
      <c r="I67" s="35"/>
      <c r="J67" s="36">
        <v>0</v>
      </c>
      <c r="K67" s="35">
        <f t="shared" si="2"/>
        <v>0</v>
      </c>
      <c r="L67" s="35"/>
      <c r="M67" s="35"/>
    </row>
    <row r="68" spans="1:13" outlineLevel="2">
      <c r="A68" s="32" t="s">
        <v>232</v>
      </c>
      <c r="B68" s="33" t="s">
        <v>233</v>
      </c>
      <c r="C68" s="34" t="s">
        <v>174</v>
      </c>
      <c r="D68" s="34"/>
      <c r="E68" s="34" t="s">
        <v>233</v>
      </c>
      <c r="F68" s="11">
        <v>1910</v>
      </c>
      <c r="G68" s="11" t="s">
        <v>234</v>
      </c>
      <c r="H68" s="35">
        <v>1448</v>
      </c>
      <c r="I68" s="35"/>
      <c r="J68" s="36">
        <v>0</v>
      </c>
      <c r="K68" s="35">
        <f t="shared" si="2"/>
        <v>0</v>
      </c>
      <c r="L68" s="35"/>
      <c r="M68" s="35"/>
    </row>
    <row r="69" spans="1:13" outlineLevel="2">
      <c r="A69" s="32" t="s">
        <v>235</v>
      </c>
      <c r="B69" s="33" t="s">
        <v>236</v>
      </c>
      <c r="C69" s="34" t="s">
        <v>174</v>
      </c>
      <c r="D69" s="34"/>
      <c r="E69" s="34" t="s">
        <v>236</v>
      </c>
      <c r="F69" s="11">
        <v>1910</v>
      </c>
      <c r="G69" s="11" t="s">
        <v>137</v>
      </c>
      <c r="H69" s="35">
        <v>1244</v>
      </c>
      <c r="I69" s="35"/>
      <c r="J69" s="36">
        <v>0</v>
      </c>
      <c r="K69" s="35">
        <f t="shared" si="2"/>
        <v>0</v>
      </c>
      <c r="L69" s="35"/>
      <c r="M69" s="35"/>
    </row>
    <row r="70" spans="1:13" outlineLevel="2">
      <c r="A70" s="32" t="s">
        <v>237</v>
      </c>
      <c r="B70" s="33" t="s">
        <v>238</v>
      </c>
      <c r="C70" s="34" t="s">
        <v>174</v>
      </c>
      <c r="D70" s="34"/>
      <c r="E70" s="34" t="s">
        <v>238</v>
      </c>
      <c r="F70" s="11">
        <v>1910</v>
      </c>
      <c r="G70" s="11" t="s">
        <v>239</v>
      </c>
      <c r="H70" s="35">
        <v>1352</v>
      </c>
      <c r="I70" s="35"/>
      <c r="J70" s="36">
        <v>0</v>
      </c>
      <c r="K70" s="35">
        <f t="shared" si="2"/>
        <v>0</v>
      </c>
      <c r="L70" s="35"/>
      <c r="M70" s="35"/>
    </row>
    <row r="71" spans="1:13" outlineLevel="2">
      <c r="A71" s="32" t="s">
        <v>240</v>
      </c>
      <c r="B71" s="33" t="s">
        <v>241</v>
      </c>
      <c r="C71" s="34" t="s">
        <v>174</v>
      </c>
      <c r="D71" s="34"/>
      <c r="E71" s="34" t="s">
        <v>241</v>
      </c>
      <c r="F71" s="11">
        <v>1910</v>
      </c>
      <c r="G71" s="11" t="s">
        <v>242</v>
      </c>
      <c r="H71" s="35">
        <v>1636</v>
      </c>
      <c r="I71" s="35"/>
      <c r="J71" s="36">
        <v>0</v>
      </c>
      <c r="K71" s="35">
        <f t="shared" si="2"/>
        <v>0</v>
      </c>
      <c r="L71" s="35"/>
      <c r="M71" s="35"/>
    </row>
    <row r="72" spans="1:13" outlineLevel="2">
      <c r="A72" s="32" t="s">
        <v>243</v>
      </c>
      <c r="B72" s="33" t="s">
        <v>244</v>
      </c>
      <c r="C72" s="34" t="s">
        <v>174</v>
      </c>
      <c r="D72" s="34"/>
      <c r="E72" s="34" t="s">
        <v>244</v>
      </c>
      <c r="F72" s="11" t="s">
        <v>47</v>
      </c>
      <c r="G72" s="11">
        <v>2006</v>
      </c>
      <c r="H72" s="35">
        <v>1200</v>
      </c>
      <c r="I72" s="35"/>
      <c r="J72" s="36">
        <v>0</v>
      </c>
      <c r="K72" s="35">
        <f>SUM(J72*H72)</f>
        <v>0</v>
      </c>
      <c r="L72" s="35"/>
      <c r="M72" s="35"/>
    </row>
    <row r="73" spans="1:13" outlineLevel="2">
      <c r="A73" s="32" t="s">
        <v>245</v>
      </c>
      <c r="B73" s="33" t="s">
        <v>246</v>
      </c>
      <c r="C73" s="34" t="s">
        <v>174</v>
      </c>
      <c r="D73" s="34"/>
      <c r="E73" s="34" t="s">
        <v>247</v>
      </c>
      <c r="F73" s="11">
        <v>1962</v>
      </c>
      <c r="G73" s="11" t="s">
        <v>56</v>
      </c>
      <c r="H73" s="35">
        <v>47750</v>
      </c>
      <c r="I73" s="35"/>
      <c r="J73" s="36">
        <v>0.25</v>
      </c>
      <c r="K73" s="35">
        <f t="shared" si="2"/>
        <v>11937.5</v>
      </c>
      <c r="L73" s="35"/>
      <c r="M73" s="35"/>
    </row>
    <row r="74" spans="1:13" outlineLevel="2">
      <c r="A74" s="32" t="s">
        <v>248</v>
      </c>
      <c r="B74" s="33" t="s">
        <v>249</v>
      </c>
      <c r="C74" s="34" t="s">
        <v>174</v>
      </c>
      <c r="D74" s="65"/>
      <c r="E74" s="34" t="s">
        <v>250</v>
      </c>
      <c r="F74" s="11">
        <v>1964</v>
      </c>
      <c r="G74" s="11" t="s">
        <v>56</v>
      </c>
      <c r="H74" s="35">
        <v>10724</v>
      </c>
      <c r="I74" s="35"/>
      <c r="J74" s="36">
        <v>0.3</v>
      </c>
      <c r="K74" s="35">
        <f t="shared" si="2"/>
        <v>3217.2</v>
      </c>
      <c r="L74" s="35"/>
      <c r="M74" s="35"/>
    </row>
    <row r="75" spans="1:13" outlineLevel="2">
      <c r="A75" s="32" t="s">
        <v>251</v>
      </c>
      <c r="B75" s="33" t="s">
        <v>252</v>
      </c>
      <c r="C75" s="34" t="s">
        <v>174</v>
      </c>
      <c r="D75" s="65"/>
      <c r="E75" s="34" t="s">
        <v>253</v>
      </c>
      <c r="F75" s="11">
        <v>1964</v>
      </c>
      <c r="G75" s="11" t="s">
        <v>56</v>
      </c>
      <c r="H75" s="35">
        <v>10724</v>
      </c>
      <c r="I75" s="35"/>
      <c r="J75" s="36">
        <v>0.3</v>
      </c>
      <c r="K75" s="35">
        <f t="shared" si="2"/>
        <v>3217.2</v>
      </c>
      <c r="L75" s="35"/>
      <c r="M75" s="35"/>
    </row>
    <row r="76" spans="1:13" ht="25.5" outlineLevel="2">
      <c r="A76" s="32" t="s">
        <v>254</v>
      </c>
      <c r="B76" s="33" t="s">
        <v>255</v>
      </c>
      <c r="C76" s="34" t="s">
        <v>174</v>
      </c>
      <c r="D76" s="34"/>
      <c r="E76" s="34" t="s">
        <v>256</v>
      </c>
      <c r="F76" s="11">
        <v>1964</v>
      </c>
      <c r="G76" s="11" t="s">
        <v>257</v>
      </c>
      <c r="H76" s="35">
        <v>26000</v>
      </c>
      <c r="I76" s="35"/>
      <c r="J76" s="36">
        <v>0.3</v>
      </c>
      <c r="K76" s="35">
        <f t="shared" si="2"/>
        <v>7800</v>
      </c>
      <c r="L76" s="35"/>
      <c r="M76" s="35"/>
    </row>
    <row r="77" spans="1:13" outlineLevel="2">
      <c r="A77" s="32" t="s">
        <v>258</v>
      </c>
      <c r="B77" s="33" t="s">
        <v>259</v>
      </c>
      <c r="C77" s="34" t="s">
        <v>174</v>
      </c>
      <c r="D77" s="34"/>
      <c r="E77" s="34" t="s">
        <v>260</v>
      </c>
      <c r="F77" s="11">
        <v>1964</v>
      </c>
      <c r="G77" s="11" t="s">
        <v>261</v>
      </c>
      <c r="H77" s="35">
        <v>10724</v>
      </c>
      <c r="I77" s="35"/>
      <c r="J77" s="36">
        <v>0.3</v>
      </c>
      <c r="K77" s="35">
        <f t="shared" si="2"/>
        <v>3217.2</v>
      </c>
      <c r="L77" s="35"/>
      <c r="M77" s="35"/>
    </row>
    <row r="78" spans="1:13" outlineLevel="2">
      <c r="A78" s="32" t="s">
        <v>262</v>
      </c>
      <c r="B78" s="33" t="s">
        <v>263</v>
      </c>
      <c r="C78" s="34" t="s">
        <v>174</v>
      </c>
      <c r="D78" s="65"/>
      <c r="E78" s="34" t="s">
        <v>264</v>
      </c>
      <c r="F78" s="11">
        <v>1930</v>
      </c>
      <c r="G78" s="11" t="s">
        <v>127</v>
      </c>
      <c r="H78" s="35">
        <v>725</v>
      </c>
      <c r="I78" s="35"/>
      <c r="J78" s="36">
        <v>0</v>
      </c>
      <c r="K78" s="35">
        <f t="shared" ref="K78:K102" si="3">SUM(J78*H78)</f>
        <v>0</v>
      </c>
      <c r="L78" s="35"/>
      <c r="M78" s="35"/>
    </row>
    <row r="79" spans="1:13" outlineLevel="2">
      <c r="A79" s="32" t="s">
        <v>265</v>
      </c>
      <c r="B79" s="33" t="s">
        <v>266</v>
      </c>
      <c r="C79" s="34" t="s">
        <v>174</v>
      </c>
      <c r="D79" s="34"/>
      <c r="E79" s="34" t="s">
        <v>267</v>
      </c>
      <c r="F79" s="11">
        <v>1964</v>
      </c>
      <c r="G79" s="11" t="s">
        <v>261</v>
      </c>
      <c r="H79" s="35">
        <v>10724</v>
      </c>
      <c r="I79" s="35"/>
      <c r="J79" s="36">
        <v>0.3</v>
      </c>
      <c r="K79" s="35">
        <f t="shared" si="3"/>
        <v>3217.2</v>
      </c>
      <c r="L79" s="35"/>
      <c r="M79" s="35"/>
    </row>
    <row r="80" spans="1:13" ht="25.5" outlineLevel="2">
      <c r="A80" s="32" t="s">
        <v>268</v>
      </c>
      <c r="B80" s="33" t="s">
        <v>269</v>
      </c>
      <c r="C80" s="34" t="s">
        <v>174</v>
      </c>
      <c r="D80" s="34"/>
      <c r="E80" s="34" t="s">
        <v>270</v>
      </c>
      <c r="F80" s="11">
        <v>1964</v>
      </c>
      <c r="G80" s="11" t="s">
        <v>257</v>
      </c>
      <c r="H80" s="35">
        <v>10724</v>
      </c>
      <c r="I80" s="35"/>
      <c r="J80" s="36">
        <v>0.3</v>
      </c>
      <c r="K80" s="35">
        <f t="shared" si="3"/>
        <v>3217.2</v>
      </c>
      <c r="L80" s="35"/>
      <c r="M80" s="35"/>
    </row>
    <row r="81" spans="1:13" ht="25.5" outlineLevel="2">
      <c r="A81" s="32" t="s">
        <v>271</v>
      </c>
      <c r="B81" s="33" t="s">
        <v>272</v>
      </c>
      <c r="C81" s="34" t="s">
        <v>174</v>
      </c>
      <c r="D81" s="34"/>
      <c r="E81" s="34" t="s">
        <v>273</v>
      </c>
      <c r="F81" s="11">
        <v>1964</v>
      </c>
      <c r="G81" s="11" t="s">
        <v>274</v>
      </c>
      <c r="H81" s="35">
        <v>31000</v>
      </c>
      <c r="I81" s="35"/>
      <c r="J81" s="36">
        <v>1</v>
      </c>
      <c r="K81" s="35">
        <f t="shared" si="3"/>
        <v>31000</v>
      </c>
      <c r="L81" s="35"/>
      <c r="M81" s="35"/>
    </row>
    <row r="82" spans="1:13" outlineLevel="2">
      <c r="A82" s="32" t="s">
        <v>275</v>
      </c>
      <c r="B82" s="33" t="s">
        <v>276</v>
      </c>
      <c r="C82" s="34" t="s">
        <v>174</v>
      </c>
      <c r="D82" s="93"/>
      <c r="E82" s="34" t="s">
        <v>277</v>
      </c>
      <c r="F82" s="11">
        <v>1952</v>
      </c>
      <c r="G82" s="11" t="s">
        <v>56</v>
      </c>
      <c r="H82" s="35">
        <v>48720</v>
      </c>
      <c r="I82" s="35"/>
      <c r="J82" s="36">
        <v>0.9</v>
      </c>
      <c r="K82" s="35">
        <f t="shared" si="3"/>
        <v>43848</v>
      </c>
      <c r="L82" s="35"/>
      <c r="M82" s="35"/>
    </row>
    <row r="83" spans="1:13" outlineLevel="2">
      <c r="A83" s="32" t="s">
        <v>278</v>
      </c>
      <c r="B83" s="33" t="s">
        <v>279</v>
      </c>
      <c r="C83" s="34" t="s">
        <v>174</v>
      </c>
      <c r="D83" s="34"/>
      <c r="E83" s="34" t="s">
        <v>280</v>
      </c>
      <c r="F83" s="11">
        <v>1891</v>
      </c>
      <c r="G83" s="11" t="s">
        <v>71</v>
      </c>
      <c r="H83" s="35">
        <v>60000</v>
      </c>
      <c r="I83" s="35"/>
      <c r="J83" s="36">
        <v>0.5</v>
      </c>
      <c r="K83" s="35">
        <f t="shared" si="3"/>
        <v>30000</v>
      </c>
      <c r="L83" s="35"/>
      <c r="M83" s="35"/>
    </row>
    <row r="84" spans="1:13" ht="25.5" outlineLevel="2">
      <c r="A84" s="32" t="s">
        <v>281</v>
      </c>
      <c r="B84" s="33" t="s">
        <v>282</v>
      </c>
      <c r="C84" s="34" t="s">
        <v>174</v>
      </c>
      <c r="D84" s="34"/>
      <c r="E84" s="34" t="s">
        <v>283</v>
      </c>
      <c r="F84" s="11">
        <v>2018</v>
      </c>
      <c r="G84" s="11" t="s">
        <v>56</v>
      </c>
      <c r="H84" s="35">
        <v>41945</v>
      </c>
      <c r="I84" s="35"/>
      <c r="J84" s="36">
        <v>1</v>
      </c>
      <c r="K84" s="35">
        <f t="shared" si="3"/>
        <v>41945</v>
      </c>
      <c r="L84" s="35"/>
      <c r="M84" s="35"/>
    </row>
    <row r="85" spans="1:13" outlineLevel="2">
      <c r="A85" s="32" t="s">
        <v>284</v>
      </c>
      <c r="B85" s="33" t="s">
        <v>285</v>
      </c>
      <c r="C85" s="34" t="s">
        <v>174</v>
      </c>
      <c r="D85" s="34"/>
      <c r="E85" s="34" t="s">
        <v>286</v>
      </c>
      <c r="F85" s="11">
        <v>1969</v>
      </c>
      <c r="G85" s="11" t="s">
        <v>56</v>
      </c>
      <c r="H85" s="35">
        <v>23000</v>
      </c>
      <c r="I85" s="35"/>
      <c r="J85" s="36">
        <v>0.25</v>
      </c>
      <c r="K85" s="35">
        <f t="shared" si="3"/>
        <v>5750</v>
      </c>
      <c r="L85" s="35"/>
      <c r="M85" s="35"/>
    </row>
    <row r="86" spans="1:13" outlineLevel="2">
      <c r="A86" s="32" t="s">
        <v>287</v>
      </c>
      <c r="B86" s="33" t="s">
        <v>288</v>
      </c>
      <c r="C86" s="34" t="s">
        <v>174</v>
      </c>
      <c r="D86" s="65"/>
      <c r="E86" s="34" t="s">
        <v>289</v>
      </c>
      <c r="F86" s="11">
        <v>1964</v>
      </c>
      <c r="G86" s="11" t="s">
        <v>99</v>
      </c>
      <c r="H86" s="35">
        <v>10724</v>
      </c>
      <c r="I86" s="35"/>
      <c r="J86" s="36">
        <v>0.3</v>
      </c>
      <c r="K86" s="35">
        <f t="shared" si="3"/>
        <v>3217.2</v>
      </c>
      <c r="L86" s="35"/>
      <c r="M86" s="35"/>
    </row>
    <row r="87" spans="1:13" outlineLevel="2">
      <c r="A87" s="32" t="s">
        <v>290</v>
      </c>
      <c r="B87" s="33" t="s">
        <v>291</v>
      </c>
      <c r="C87" s="34" t="s">
        <v>174</v>
      </c>
      <c r="D87" s="34"/>
      <c r="E87" s="34" t="s">
        <v>292</v>
      </c>
      <c r="F87" s="11">
        <v>1966</v>
      </c>
      <c r="G87" s="11" t="s">
        <v>56</v>
      </c>
      <c r="H87" s="35">
        <v>20434</v>
      </c>
      <c r="I87" s="35"/>
      <c r="J87" s="36">
        <v>0</v>
      </c>
      <c r="K87" s="35">
        <f t="shared" si="3"/>
        <v>0</v>
      </c>
      <c r="L87" s="35"/>
      <c r="M87" s="35"/>
    </row>
    <row r="88" spans="1:13" outlineLevel="2">
      <c r="A88" s="32" t="s">
        <v>293</v>
      </c>
      <c r="B88" s="33" t="s">
        <v>294</v>
      </c>
      <c r="C88" s="34" t="s">
        <v>174</v>
      </c>
      <c r="D88" s="34"/>
      <c r="E88" s="34" t="s">
        <v>295</v>
      </c>
      <c r="F88" s="11">
        <v>1926</v>
      </c>
      <c r="G88" s="11">
        <v>1957</v>
      </c>
      <c r="H88" s="35">
        <v>11548</v>
      </c>
      <c r="I88" s="35"/>
      <c r="J88" s="36">
        <v>0</v>
      </c>
      <c r="K88" s="35">
        <f t="shared" si="3"/>
        <v>0</v>
      </c>
      <c r="L88" s="35"/>
      <c r="M88" s="35"/>
    </row>
    <row r="89" spans="1:13" outlineLevel="2">
      <c r="A89" s="32" t="s">
        <v>296</v>
      </c>
      <c r="B89" s="33" t="s">
        <v>297</v>
      </c>
      <c r="C89" s="34" t="s">
        <v>174</v>
      </c>
      <c r="D89" s="34"/>
      <c r="E89" s="34" t="s">
        <v>298</v>
      </c>
      <c r="F89" s="11">
        <v>1973</v>
      </c>
      <c r="G89" s="11" t="s">
        <v>56</v>
      </c>
      <c r="H89" s="35">
        <v>18933</v>
      </c>
      <c r="I89" s="35"/>
      <c r="J89" s="36">
        <v>0.5</v>
      </c>
      <c r="K89" s="35">
        <f t="shared" si="3"/>
        <v>9466.5</v>
      </c>
      <c r="L89" s="35"/>
      <c r="M89" s="35"/>
    </row>
    <row r="90" spans="1:13" outlineLevel="2">
      <c r="A90" s="32" t="s">
        <v>299</v>
      </c>
      <c r="B90" s="33" t="s">
        <v>300</v>
      </c>
      <c r="C90" s="34" t="s">
        <v>174</v>
      </c>
      <c r="D90" s="34"/>
      <c r="E90" s="34" t="s">
        <v>301</v>
      </c>
      <c r="F90" s="11">
        <v>1955</v>
      </c>
      <c r="G90" s="11" t="s">
        <v>302</v>
      </c>
      <c r="H90" s="35">
        <v>40000</v>
      </c>
      <c r="I90" s="35"/>
      <c r="J90" s="36">
        <v>1</v>
      </c>
      <c r="K90" s="35">
        <f t="shared" si="3"/>
        <v>40000</v>
      </c>
      <c r="L90" s="35"/>
      <c r="M90" s="35"/>
    </row>
    <row r="91" spans="1:13" outlineLevel="2">
      <c r="A91" s="32" t="s">
        <v>303</v>
      </c>
      <c r="B91" s="33" t="s">
        <v>304</v>
      </c>
      <c r="C91" s="34" t="s">
        <v>174</v>
      </c>
      <c r="D91" s="34"/>
      <c r="E91" s="34" t="s">
        <v>305</v>
      </c>
      <c r="F91" s="11" t="s">
        <v>47</v>
      </c>
      <c r="G91" s="11" t="s">
        <v>306</v>
      </c>
      <c r="H91" s="35">
        <v>9562</v>
      </c>
      <c r="I91" s="35"/>
      <c r="J91" s="36">
        <v>0</v>
      </c>
      <c r="K91" s="35">
        <f t="shared" si="3"/>
        <v>0</v>
      </c>
      <c r="L91" s="35"/>
      <c r="M91" s="35"/>
    </row>
    <row r="92" spans="1:13" outlineLevel="2">
      <c r="A92" s="32" t="s">
        <v>307</v>
      </c>
      <c r="B92" s="33" t="s">
        <v>308</v>
      </c>
      <c r="C92" s="34" t="s">
        <v>174</v>
      </c>
      <c r="D92" s="34"/>
      <c r="E92" s="34" t="s">
        <v>309</v>
      </c>
      <c r="F92" s="11" t="s">
        <v>20</v>
      </c>
      <c r="G92" s="11">
        <v>1982</v>
      </c>
      <c r="H92" s="35">
        <v>4444</v>
      </c>
      <c r="I92" s="35"/>
      <c r="J92" s="36">
        <v>0</v>
      </c>
      <c r="K92" s="35">
        <f t="shared" si="3"/>
        <v>0</v>
      </c>
      <c r="L92" s="35"/>
      <c r="M92" s="35"/>
    </row>
    <row r="93" spans="1:13" outlineLevel="2">
      <c r="A93" s="32" t="s">
        <v>310</v>
      </c>
      <c r="B93" s="33" t="s">
        <v>311</v>
      </c>
      <c r="C93" s="34" t="s">
        <v>174</v>
      </c>
      <c r="D93" s="34"/>
      <c r="E93" s="34" t="s">
        <v>312</v>
      </c>
      <c r="F93" s="11">
        <v>1930</v>
      </c>
      <c r="G93" s="11" t="s">
        <v>127</v>
      </c>
      <c r="H93" s="35">
        <v>6845</v>
      </c>
      <c r="I93" s="35"/>
      <c r="J93" s="36">
        <v>0</v>
      </c>
      <c r="K93" s="35">
        <f t="shared" si="3"/>
        <v>0</v>
      </c>
      <c r="L93" s="35"/>
      <c r="M93" s="35"/>
    </row>
    <row r="94" spans="1:13" outlineLevel="2">
      <c r="A94" s="32" t="s">
        <v>313</v>
      </c>
      <c r="B94" s="33" t="s">
        <v>314</v>
      </c>
      <c r="C94" s="34" t="s">
        <v>174</v>
      </c>
      <c r="D94" s="34"/>
      <c r="E94" s="34" t="s">
        <v>315</v>
      </c>
      <c r="F94" s="11">
        <v>1931</v>
      </c>
      <c r="G94" s="11">
        <v>1964</v>
      </c>
      <c r="H94" s="35">
        <v>11520</v>
      </c>
      <c r="I94" s="35"/>
      <c r="J94" s="36">
        <v>0.3</v>
      </c>
      <c r="K94" s="35">
        <f t="shared" si="3"/>
        <v>3456</v>
      </c>
      <c r="L94" s="35"/>
      <c r="M94" s="35"/>
    </row>
    <row r="95" spans="1:13" outlineLevel="2">
      <c r="A95" s="32" t="s">
        <v>316</v>
      </c>
      <c r="B95" s="33" t="s">
        <v>317</v>
      </c>
      <c r="C95" s="34" t="s">
        <v>174</v>
      </c>
      <c r="D95" s="34"/>
      <c r="E95" s="34" t="s">
        <v>318</v>
      </c>
      <c r="F95" s="11" t="s">
        <v>47</v>
      </c>
      <c r="G95" s="11" t="s">
        <v>319</v>
      </c>
      <c r="H95" s="35">
        <v>11340</v>
      </c>
      <c r="I95" s="35"/>
      <c r="J95" s="36">
        <v>0</v>
      </c>
      <c r="K95" s="35">
        <f t="shared" si="3"/>
        <v>0</v>
      </c>
      <c r="L95" s="35"/>
      <c r="M95" s="35"/>
    </row>
    <row r="96" spans="1:13" outlineLevel="2">
      <c r="A96" s="32" t="s">
        <v>320</v>
      </c>
      <c r="B96" s="33" t="s">
        <v>321</v>
      </c>
      <c r="C96" s="34" t="s">
        <v>174</v>
      </c>
      <c r="D96" s="34"/>
      <c r="E96" s="34" t="s">
        <v>322</v>
      </c>
      <c r="F96" s="11">
        <v>1985</v>
      </c>
      <c r="G96" s="11" t="s">
        <v>66</v>
      </c>
      <c r="H96" s="35">
        <v>2016</v>
      </c>
      <c r="I96" s="35"/>
      <c r="J96" s="36">
        <v>0.3</v>
      </c>
      <c r="K96" s="35">
        <f t="shared" si="3"/>
        <v>604.79999999999995</v>
      </c>
      <c r="L96" s="35"/>
      <c r="M96" s="35"/>
    </row>
    <row r="97" spans="1:13" outlineLevel="2">
      <c r="A97" s="32" t="s">
        <v>323</v>
      </c>
      <c r="B97" s="33" t="s">
        <v>324</v>
      </c>
      <c r="C97" s="34" t="s">
        <v>174</v>
      </c>
      <c r="D97" s="34"/>
      <c r="E97" s="34" t="s">
        <v>325</v>
      </c>
      <c r="F97" s="11">
        <v>1985</v>
      </c>
      <c r="G97" s="11" t="s">
        <v>66</v>
      </c>
      <c r="H97" s="35">
        <v>2016</v>
      </c>
      <c r="I97" s="35"/>
      <c r="J97" s="36">
        <v>0.3</v>
      </c>
      <c r="K97" s="35">
        <f t="shared" si="3"/>
        <v>604.79999999999995</v>
      </c>
      <c r="L97" s="35"/>
      <c r="M97" s="35"/>
    </row>
    <row r="98" spans="1:13" outlineLevel="2">
      <c r="A98" s="32" t="s">
        <v>326</v>
      </c>
      <c r="B98" s="33" t="s">
        <v>324</v>
      </c>
      <c r="C98" s="34" t="s">
        <v>174</v>
      </c>
      <c r="D98" s="34"/>
      <c r="E98" s="34" t="s">
        <v>327</v>
      </c>
      <c r="F98" s="11">
        <v>1985</v>
      </c>
      <c r="G98" s="11" t="s">
        <v>66</v>
      </c>
      <c r="H98" s="35">
        <v>2016</v>
      </c>
      <c r="I98" s="35"/>
      <c r="J98" s="36">
        <v>0.3</v>
      </c>
      <c r="K98" s="35">
        <f t="shared" si="3"/>
        <v>604.79999999999995</v>
      </c>
      <c r="L98" s="35"/>
      <c r="M98" s="35"/>
    </row>
    <row r="99" spans="1:13" outlineLevel="2">
      <c r="A99" s="32" t="s">
        <v>328</v>
      </c>
      <c r="B99" s="33" t="s">
        <v>324</v>
      </c>
      <c r="C99" s="34" t="s">
        <v>174</v>
      </c>
      <c r="D99" s="34"/>
      <c r="E99" s="34" t="s">
        <v>329</v>
      </c>
      <c r="F99" s="11">
        <v>1985</v>
      </c>
      <c r="G99" s="11" t="s">
        <v>66</v>
      </c>
      <c r="H99" s="35">
        <v>2016</v>
      </c>
      <c r="I99" s="35"/>
      <c r="J99" s="36">
        <v>0.3</v>
      </c>
      <c r="K99" s="35">
        <f t="shared" si="3"/>
        <v>604.79999999999995</v>
      </c>
      <c r="L99" s="35"/>
      <c r="M99" s="35"/>
    </row>
    <row r="100" spans="1:13" outlineLevel="2">
      <c r="A100" s="32" t="s">
        <v>330</v>
      </c>
      <c r="B100" s="33" t="s">
        <v>324</v>
      </c>
      <c r="C100" s="34" t="s">
        <v>174</v>
      </c>
      <c r="D100" s="34"/>
      <c r="E100" s="34" t="s">
        <v>331</v>
      </c>
      <c r="F100" s="11">
        <v>1985</v>
      </c>
      <c r="G100" s="11" t="s">
        <v>66</v>
      </c>
      <c r="H100" s="35">
        <v>2016</v>
      </c>
      <c r="I100" s="35"/>
      <c r="J100" s="36">
        <v>0.3</v>
      </c>
      <c r="K100" s="35">
        <f t="shared" si="3"/>
        <v>604.79999999999995</v>
      </c>
      <c r="L100" s="35"/>
      <c r="M100" s="35"/>
    </row>
    <row r="101" spans="1:13" outlineLevel="2">
      <c r="A101" s="32" t="s">
        <v>332</v>
      </c>
      <c r="B101" s="33" t="s">
        <v>333</v>
      </c>
      <c r="C101" s="34" t="s">
        <v>174</v>
      </c>
      <c r="D101" s="34"/>
      <c r="E101" s="34" t="s">
        <v>334</v>
      </c>
      <c r="F101" s="11" t="s">
        <v>47</v>
      </c>
      <c r="G101" s="11" t="s">
        <v>335</v>
      </c>
      <c r="H101" s="35">
        <v>6000</v>
      </c>
      <c r="I101" s="35"/>
      <c r="J101" s="36">
        <v>0.05</v>
      </c>
      <c r="K101" s="35">
        <f t="shared" si="3"/>
        <v>300</v>
      </c>
      <c r="L101" s="35"/>
      <c r="M101" s="35"/>
    </row>
    <row r="102" spans="1:13" outlineLevel="2">
      <c r="A102" s="37" t="s">
        <v>336</v>
      </c>
      <c r="B102" s="33" t="s">
        <v>337</v>
      </c>
      <c r="C102" s="34" t="s">
        <v>174</v>
      </c>
      <c r="D102" s="34"/>
      <c r="E102" s="34" t="s">
        <v>338</v>
      </c>
      <c r="F102" s="11" t="s">
        <v>85</v>
      </c>
      <c r="G102" s="11">
        <v>2002</v>
      </c>
      <c r="H102" s="35">
        <v>2700</v>
      </c>
      <c r="I102" s="35"/>
      <c r="J102" s="36">
        <v>0</v>
      </c>
      <c r="K102" s="35">
        <f t="shared" si="3"/>
        <v>0</v>
      </c>
      <c r="L102" s="35"/>
      <c r="M102" s="35"/>
    </row>
    <row r="103" spans="1:13" outlineLevel="2">
      <c r="A103" s="43" t="s">
        <v>339</v>
      </c>
      <c r="B103" s="60" t="s">
        <v>340</v>
      </c>
      <c r="C103" s="61" t="s">
        <v>174</v>
      </c>
      <c r="D103" s="61"/>
      <c r="E103" s="61" t="s">
        <v>247</v>
      </c>
      <c r="F103" s="16">
        <v>1965</v>
      </c>
      <c r="G103" s="16" t="s">
        <v>56</v>
      </c>
      <c r="H103" s="62">
        <v>18603</v>
      </c>
      <c r="I103" s="62"/>
      <c r="J103" s="63">
        <v>0.3</v>
      </c>
      <c r="K103" s="62">
        <f t="shared" ref="K103" si="4">SUM(J103*H103)</f>
        <v>5580.9</v>
      </c>
      <c r="L103" s="62"/>
      <c r="M103" s="62"/>
    </row>
    <row r="104" spans="1:13" outlineLevel="1">
      <c r="A104" s="66"/>
      <c r="B104" s="105" t="s">
        <v>341</v>
      </c>
      <c r="C104" s="106"/>
      <c r="D104" s="106"/>
      <c r="E104" s="106"/>
      <c r="F104" s="106"/>
      <c r="G104" s="106"/>
      <c r="H104" s="49">
        <f>SUM(H45:H103)</f>
        <v>574594</v>
      </c>
      <c r="I104" s="49">
        <f>COUNT(H45:H103)</f>
        <v>59</v>
      </c>
      <c r="J104" s="50"/>
      <c r="K104" s="49">
        <f>SUM(K45:K103)</f>
        <v>253411.09999999995</v>
      </c>
      <c r="L104" s="49"/>
      <c r="M104" s="49"/>
    </row>
    <row r="105" spans="1:13" outlineLevel="2">
      <c r="A105" s="37" t="s">
        <v>342</v>
      </c>
      <c r="B105" s="38" t="s">
        <v>343</v>
      </c>
      <c r="C105" s="39" t="s">
        <v>344</v>
      </c>
      <c r="D105" s="39"/>
      <c r="E105" s="39" t="s">
        <v>343</v>
      </c>
      <c r="F105" s="12" t="s">
        <v>20</v>
      </c>
      <c r="G105" s="12"/>
      <c r="H105" s="40">
        <v>7190</v>
      </c>
      <c r="I105" s="40"/>
      <c r="J105" s="41">
        <v>0.2</v>
      </c>
      <c r="K105" s="40">
        <f t="shared" ref="K105:K116" si="5">SUM(J105*H105)</f>
        <v>1438</v>
      </c>
      <c r="L105" s="40"/>
      <c r="M105" s="40"/>
    </row>
    <row r="106" spans="1:13" outlineLevel="2">
      <c r="A106" s="100" t="s">
        <v>345</v>
      </c>
      <c r="B106" s="94" t="s">
        <v>346</v>
      </c>
      <c r="C106" s="95" t="s">
        <v>344</v>
      </c>
      <c r="D106" s="95"/>
      <c r="E106" s="95" t="s">
        <v>347</v>
      </c>
      <c r="F106" s="96"/>
      <c r="G106" s="96"/>
      <c r="H106" s="97"/>
      <c r="I106" s="97"/>
      <c r="J106" s="98"/>
      <c r="K106" s="97"/>
      <c r="L106" s="97"/>
      <c r="M106" s="97"/>
    </row>
    <row r="107" spans="1:13" outlineLevel="2">
      <c r="A107" s="37" t="s">
        <v>348</v>
      </c>
      <c r="B107" s="38" t="s">
        <v>349</v>
      </c>
      <c r="C107" s="39" t="s">
        <v>344</v>
      </c>
      <c r="D107" s="39"/>
      <c r="E107" s="39" t="s">
        <v>349</v>
      </c>
      <c r="F107" s="12" t="s">
        <v>20</v>
      </c>
      <c r="G107" s="12"/>
      <c r="H107" s="40">
        <v>5825</v>
      </c>
      <c r="I107" s="40"/>
      <c r="J107" s="41">
        <v>0</v>
      </c>
      <c r="K107" s="40">
        <f t="shared" si="5"/>
        <v>0</v>
      </c>
      <c r="L107" s="40"/>
      <c r="M107" s="40"/>
    </row>
    <row r="108" spans="1:13" outlineLevel="2">
      <c r="A108" s="32" t="s">
        <v>350</v>
      </c>
      <c r="B108" s="33" t="s">
        <v>351</v>
      </c>
      <c r="C108" s="39" t="s">
        <v>344</v>
      </c>
      <c r="D108" s="39"/>
      <c r="E108" s="34" t="s">
        <v>351</v>
      </c>
      <c r="F108" s="11" t="s">
        <v>20</v>
      </c>
      <c r="G108" s="11">
        <v>2022</v>
      </c>
      <c r="H108" s="35">
        <v>2864</v>
      </c>
      <c r="I108" s="35"/>
      <c r="J108" s="36">
        <v>0</v>
      </c>
      <c r="K108" s="35">
        <v>0</v>
      </c>
      <c r="L108" s="35"/>
      <c r="M108" s="35"/>
    </row>
    <row r="109" spans="1:13" outlineLevel="2">
      <c r="A109" s="100" t="s">
        <v>352</v>
      </c>
      <c r="B109" s="94" t="s">
        <v>353</v>
      </c>
      <c r="C109" s="95" t="s">
        <v>344</v>
      </c>
      <c r="D109" s="95"/>
      <c r="E109" s="95" t="s">
        <v>353</v>
      </c>
      <c r="F109" s="96"/>
      <c r="G109" s="96"/>
      <c r="H109" s="97"/>
      <c r="I109" s="97"/>
      <c r="J109" s="98"/>
      <c r="K109" s="97"/>
      <c r="L109" s="97"/>
      <c r="M109" s="97"/>
    </row>
    <row r="110" spans="1:13" outlineLevel="2">
      <c r="A110" s="100" t="s">
        <v>354</v>
      </c>
      <c r="B110" s="94" t="s">
        <v>355</v>
      </c>
      <c r="C110" s="95" t="s">
        <v>344</v>
      </c>
      <c r="D110" s="95"/>
      <c r="E110" s="95" t="s">
        <v>353</v>
      </c>
      <c r="F110" s="96"/>
      <c r="G110" s="96"/>
      <c r="H110" s="97"/>
      <c r="I110" s="97"/>
      <c r="J110" s="98"/>
      <c r="K110" s="97"/>
      <c r="L110" s="97"/>
      <c r="M110" s="97"/>
    </row>
    <row r="111" spans="1:13" outlineLevel="2">
      <c r="A111" s="100" t="s">
        <v>356</v>
      </c>
      <c r="B111" s="94" t="s">
        <v>357</v>
      </c>
      <c r="C111" s="95" t="s">
        <v>344</v>
      </c>
      <c r="D111" s="95"/>
      <c r="E111" s="95" t="s">
        <v>358</v>
      </c>
      <c r="F111" s="96"/>
      <c r="G111" s="96"/>
      <c r="H111" s="97"/>
      <c r="I111" s="97"/>
      <c r="J111" s="98"/>
      <c r="K111" s="97"/>
      <c r="L111" s="97"/>
      <c r="M111" s="97"/>
    </row>
    <row r="112" spans="1:13" outlineLevel="2">
      <c r="A112" s="100" t="s">
        <v>359</v>
      </c>
      <c r="B112" s="94" t="s">
        <v>360</v>
      </c>
      <c r="C112" s="95" t="s">
        <v>344</v>
      </c>
      <c r="D112" s="95"/>
      <c r="E112" s="95" t="s">
        <v>358</v>
      </c>
      <c r="F112" s="96"/>
      <c r="G112" s="96"/>
      <c r="H112" s="97"/>
      <c r="I112" s="97"/>
      <c r="J112" s="98"/>
      <c r="K112" s="97"/>
      <c r="L112" s="97"/>
      <c r="M112" s="97"/>
    </row>
    <row r="113" spans="1:13" outlineLevel="2">
      <c r="A113" s="37" t="s">
        <v>361</v>
      </c>
      <c r="B113" s="38" t="s">
        <v>362</v>
      </c>
      <c r="C113" s="39" t="s">
        <v>344</v>
      </c>
      <c r="D113" s="39"/>
      <c r="E113" s="39" t="s">
        <v>363</v>
      </c>
      <c r="F113" s="12">
        <v>1905</v>
      </c>
      <c r="G113" s="12"/>
      <c r="H113" s="40">
        <v>11750</v>
      </c>
      <c r="I113" s="40"/>
      <c r="J113" s="41">
        <v>0.3</v>
      </c>
      <c r="K113" s="40">
        <f t="shared" si="5"/>
        <v>3525</v>
      </c>
      <c r="L113" s="40"/>
      <c r="M113" s="40"/>
    </row>
    <row r="114" spans="1:13" outlineLevel="2">
      <c r="A114" s="37" t="s">
        <v>364</v>
      </c>
      <c r="B114" s="38" t="s">
        <v>365</v>
      </c>
      <c r="C114" s="39" t="s">
        <v>344</v>
      </c>
      <c r="D114" s="39"/>
      <c r="E114" s="39" t="s">
        <v>366</v>
      </c>
      <c r="F114" s="12" t="s">
        <v>367</v>
      </c>
      <c r="G114" s="12"/>
      <c r="H114" s="40">
        <v>3519</v>
      </c>
      <c r="I114" s="40"/>
      <c r="J114" s="41">
        <v>0</v>
      </c>
      <c r="K114" s="40">
        <f t="shared" si="5"/>
        <v>0</v>
      </c>
      <c r="L114" s="40"/>
      <c r="M114" s="40"/>
    </row>
    <row r="115" spans="1:13" outlineLevel="2">
      <c r="A115" s="37" t="s">
        <v>368</v>
      </c>
      <c r="B115" s="38" t="s">
        <v>369</v>
      </c>
      <c r="C115" s="39" t="s">
        <v>344</v>
      </c>
      <c r="D115" s="39"/>
      <c r="E115" s="39" t="s">
        <v>370</v>
      </c>
      <c r="F115" s="12" t="s">
        <v>20</v>
      </c>
      <c r="G115" s="12"/>
      <c r="H115" s="40">
        <v>13000</v>
      </c>
      <c r="I115" s="40"/>
      <c r="J115" s="41">
        <v>0</v>
      </c>
      <c r="K115" s="40">
        <f t="shared" si="5"/>
        <v>0</v>
      </c>
      <c r="L115" s="40"/>
      <c r="M115" s="40"/>
    </row>
    <row r="116" spans="1:13" outlineLevel="2">
      <c r="A116" s="37" t="s">
        <v>371</v>
      </c>
      <c r="B116" s="38" t="s">
        <v>372</v>
      </c>
      <c r="C116" s="39" t="s">
        <v>344</v>
      </c>
      <c r="D116" s="39"/>
      <c r="E116" s="39" t="s">
        <v>373</v>
      </c>
      <c r="F116" s="12" t="s">
        <v>367</v>
      </c>
      <c r="G116" s="12"/>
      <c r="H116" s="40">
        <v>5206</v>
      </c>
      <c r="I116" s="40"/>
      <c r="J116" s="41">
        <v>0</v>
      </c>
      <c r="K116" s="40">
        <f t="shared" si="5"/>
        <v>0</v>
      </c>
      <c r="L116" s="40"/>
      <c r="M116" s="40"/>
    </row>
    <row r="117" spans="1:13" outlineLevel="1">
      <c r="A117" s="67"/>
      <c r="B117" s="107" t="s">
        <v>374</v>
      </c>
      <c r="C117" s="106"/>
      <c r="D117" s="106"/>
      <c r="E117" s="106"/>
      <c r="F117" s="106"/>
      <c r="G117" s="106"/>
      <c r="H117" s="49">
        <f>SUM(H105:H116)</f>
        <v>49354</v>
      </c>
      <c r="I117" s="49">
        <f>COUNT(H105:H116)</f>
        <v>7</v>
      </c>
      <c r="J117" s="50"/>
      <c r="K117" s="49">
        <f>SUM(K105:K116)</f>
        <v>4963</v>
      </c>
      <c r="L117" s="49"/>
      <c r="M117" s="49"/>
    </row>
    <row r="118" spans="1:13">
      <c r="A118" s="68"/>
      <c r="B118" s="104" t="s">
        <v>375</v>
      </c>
      <c r="C118" s="103"/>
      <c r="D118" s="103"/>
      <c r="E118" s="103"/>
      <c r="F118" s="103"/>
      <c r="G118" s="103"/>
      <c r="H118" s="57">
        <f>SUM(H117,H104)</f>
        <v>623948</v>
      </c>
      <c r="I118" s="57">
        <f>SUM(I104,I117)</f>
        <v>66</v>
      </c>
      <c r="J118" s="58"/>
      <c r="K118" s="57">
        <f>SUM(K117,K104)</f>
        <v>258374.09999999995</v>
      </c>
      <c r="L118" s="57"/>
      <c r="M118" s="57"/>
    </row>
    <row r="119" spans="1:13" outlineLevel="2">
      <c r="A119" s="32" t="s">
        <v>376</v>
      </c>
      <c r="B119" s="33" t="s">
        <v>377</v>
      </c>
      <c r="C119" s="34" t="s">
        <v>378</v>
      </c>
      <c r="D119" s="34" t="s">
        <v>379</v>
      </c>
      <c r="E119" s="34" t="s">
        <v>380</v>
      </c>
      <c r="F119" s="11">
        <v>1910</v>
      </c>
      <c r="G119" s="11">
        <v>2009</v>
      </c>
      <c r="H119" s="35">
        <v>1586</v>
      </c>
      <c r="I119" s="35"/>
      <c r="J119" s="36">
        <v>0</v>
      </c>
      <c r="K119" s="35">
        <f t="shared" ref="K119:K123" si="6">SUM(J119*H119)</f>
        <v>0</v>
      </c>
      <c r="L119" s="35"/>
      <c r="M119" s="35"/>
    </row>
    <row r="120" spans="1:13" outlineLevel="2">
      <c r="A120" s="32" t="s">
        <v>381</v>
      </c>
      <c r="B120" s="33" t="s">
        <v>382</v>
      </c>
      <c r="C120" s="34" t="s">
        <v>378</v>
      </c>
      <c r="D120" s="34" t="s">
        <v>379</v>
      </c>
      <c r="E120" s="34" t="s">
        <v>383</v>
      </c>
      <c r="F120" s="11">
        <v>1900</v>
      </c>
      <c r="G120" s="11">
        <v>2010</v>
      </c>
      <c r="H120" s="35">
        <v>1111</v>
      </c>
      <c r="I120" s="35"/>
      <c r="J120" s="36">
        <v>0</v>
      </c>
      <c r="K120" s="35">
        <f>SUM(J120*H120)</f>
        <v>0</v>
      </c>
      <c r="L120" s="35"/>
      <c r="M120" s="35"/>
    </row>
    <row r="121" spans="1:13" ht="25.5" outlineLevel="2">
      <c r="A121" s="32" t="s">
        <v>384</v>
      </c>
      <c r="B121" s="33" t="s">
        <v>385</v>
      </c>
      <c r="C121" s="34" t="s">
        <v>378</v>
      </c>
      <c r="D121" s="34" t="s">
        <v>386</v>
      </c>
      <c r="E121" s="34" t="s">
        <v>387</v>
      </c>
      <c r="F121" s="11" t="s">
        <v>388</v>
      </c>
      <c r="G121" s="11">
        <v>1967</v>
      </c>
      <c r="H121" s="35">
        <v>2250</v>
      </c>
      <c r="I121" s="35"/>
      <c r="J121" s="36">
        <v>0</v>
      </c>
      <c r="K121" s="35">
        <f t="shared" si="6"/>
        <v>0</v>
      </c>
      <c r="L121" s="35"/>
      <c r="M121" s="35"/>
    </row>
    <row r="122" spans="1:13" outlineLevel="2">
      <c r="A122" s="43" t="s">
        <v>389</v>
      </c>
      <c r="B122" s="60" t="s">
        <v>390</v>
      </c>
      <c r="C122" s="34" t="s">
        <v>378</v>
      </c>
      <c r="D122" s="61" t="s">
        <v>391</v>
      </c>
      <c r="E122" s="61" t="s">
        <v>392</v>
      </c>
      <c r="F122" s="16">
        <v>1967</v>
      </c>
      <c r="G122" s="16">
        <v>2000</v>
      </c>
      <c r="H122" s="62">
        <v>2745</v>
      </c>
      <c r="I122" s="62"/>
      <c r="J122" s="63">
        <v>0.5</v>
      </c>
      <c r="K122" s="62">
        <f t="shared" si="6"/>
        <v>1372.5</v>
      </c>
      <c r="L122" s="62"/>
      <c r="M122" s="62"/>
    </row>
    <row r="123" spans="1:13" outlineLevel="1">
      <c r="A123" s="69"/>
      <c r="B123" s="105" t="s">
        <v>393</v>
      </c>
      <c r="C123" s="106"/>
      <c r="D123" s="106"/>
      <c r="E123" s="106"/>
      <c r="F123" s="106"/>
      <c r="G123" s="106"/>
      <c r="H123" s="49">
        <f>SUM(H119:H122)</f>
        <v>7692</v>
      </c>
      <c r="I123" s="49">
        <f>COUNT(H47:H122)</f>
        <v>71</v>
      </c>
      <c r="J123" s="50"/>
      <c r="K123" s="101">
        <f>SUM(K119:K122)</f>
        <v>1372.5</v>
      </c>
      <c r="L123" s="49"/>
      <c r="M123" s="49"/>
    </row>
    <row r="124" spans="1:13" outlineLevel="2">
      <c r="A124" s="37" t="s">
        <v>394</v>
      </c>
      <c r="B124" s="38" t="s">
        <v>395</v>
      </c>
      <c r="C124" s="39" t="s">
        <v>396</v>
      </c>
      <c r="D124" s="20" t="s">
        <v>397</v>
      </c>
      <c r="E124" s="20" t="s">
        <v>398</v>
      </c>
      <c r="F124" s="12" t="s">
        <v>20</v>
      </c>
      <c r="G124" s="12">
        <v>2012</v>
      </c>
      <c r="H124" s="40">
        <v>2240</v>
      </c>
      <c r="I124" s="40"/>
      <c r="J124" s="41">
        <v>0</v>
      </c>
      <c r="K124" s="40">
        <f>SUM(J124*H124)</f>
        <v>0</v>
      </c>
      <c r="L124" s="40"/>
      <c r="M124" s="40"/>
    </row>
    <row r="125" spans="1:13" outlineLevel="2">
      <c r="A125" s="100" t="s">
        <v>399</v>
      </c>
      <c r="B125" s="94" t="s">
        <v>400</v>
      </c>
      <c r="C125" s="95" t="s">
        <v>396</v>
      </c>
      <c r="D125" s="99" t="s">
        <v>397</v>
      </c>
      <c r="E125" s="99" t="s">
        <v>400</v>
      </c>
      <c r="F125" s="96"/>
      <c r="G125" s="96"/>
      <c r="H125" s="97"/>
      <c r="I125" s="97"/>
      <c r="J125" s="98"/>
      <c r="K125" s="97"/>
      <c r="L125" s="97"/>
      <c r="M125" s="97"/>
    </row>
    <row r="126" spans="1:13" outlineLevel="2">
      <c r="A126" s="70" t="s">
        <v>401</v>
      </c>
      <c r="B126" s="33" t="s">
        <v>402</v>
      </c>
      <c r="C126" s="39" t="s">
        <v>396</v>
      </c>
      <c r="D126" s="34" t="s">
        <v>397</v>
      </c>
      <c r="E126" s="39" t="s">
        <v>403</v>
      </c>
      <c r="F126" s="11" t="s">
        <v>20</v>
      </c>
      <c r="G126" s="11">
        <v>2014</v>
      </c>
      <c r="H126" s="35">
        <v>3000</v>
      </c>
      <c r="I126" s="35"/>
      <c r="J126" s="36">
        <v>0</v>
      </c>
      <c r="K126" s="35">
        <f>SUM(J126*H126)</f>
        <v>0</v>
      </c>
      <c r="L126" s="35"/>
      <c r="M126" s="35"/>
    </row>
    <row r="127" spans="1:13" outlineLevel="2">
      <c r="A127" s="70"/>
      <c r="B127" s="33" t="s">
        <v>404</v>
      </c>
      <c r="C127" s="39" t="s">
        <v>396</v>
      </c>
      <c r="D127" s="34" t="s">
        <v>391</v>
      </c>
      <c r="E127" s="34" t="s">
        <v>405</v>
      </c>
      <c r="F127" s="11"/>
      <c r="G127" s="11"/>
      <c r="H127" s="35"/>
      <c r="I127" s="35"/>
      <c r="J127" s="36"/>
      <c r="K127" s="35"/>
      <c r="L127" s="35"/>
      <c r="M127" s="35"/>
    </row>
    <row r="128" spans="1:13" outlineLevel="1">
      <c r="A128" s="71"/>
      <c r="B128" s="108" t="s">
        <v>406</v>
      </c>
      <c r="C128" s="109"/>
      <c r="D128" s="109"/>
      <c r="E128" s="109"/>
      <c r="F128" s="109"/>
      <c r="G128" s="109"/>
      <c r="H128" s="72">
        <f>SUM(H124:H127)</f>
        <v>5240</v>
      </c>
      <c r="I128" s="72">
        <f>COUNT(H124:H127)</f>
        <v>2</v>
      </c>
      <c r="J128" s="73"/>
      <c r="K128" s="72">
        <f>SUM(K124:K127)</f>
        <v>0</v>
      </c>
      <c r="L128" s="72"/>
      <c r="M128" s="72"/>
    </row>
    <row r="129" spans="1:14">
      <c r="A129" s="74"/>
      <c r="B129" s="102" t="s">
        <v>407</v>
      </c>
      <c r="C129" s="103"/>
      <c r="D129" s="103"/>
      <c r="E129" s="103"/>
      <c r="F129" s="103"/>
      <c r="G129" s="103"/>
      <c r="H129" s="57">
        <f>SUM(H128,H123)</f>
        <v>12932</v>
      </c>
      <c r="I129" s="57">
        <f>SUM(I123,I128)</f>
        <v>73</v>
      </c>
      <c r="J129" s="58"/>
      <c r="K129" s="57">
        <f>SUM(K128,K123)</f>
        <v>1372.5</v>
      </c>
      <c r="L129" s="57"/>
      <c r="M129" s="57"/>
    </row>
    <row r="130" spans="1:14" outlineLevel="1">
      <c r="A130" s="32" t="s">
        <v>408</v>
      </c>
      <c r="B130" s="33" t="s">
        <v>409</v>
      </c>
      <c r="C130" s="34" t="s">
        <v>17</v>
      </c>
      <c r="D130" s="34" t="s">
        <v>410</v>
      </c>
      <c r="E130" s="34" t="s">
        <v>409</v>
      </c>
      <c r="F130" s="11">
        <v>1895</v>
      </c>
      <c r="G130" s="11">
        <v>1993</v>
      </c>
      <c r="H130" s="35">
        <v>3091</v>
      </c>
      <c r="I130" s="35"/>
      <c r="J130" s="36">
        <v>0</v>
      </c>
      <c r="K130" s="35">
        <v>0</v>
      </c>
      <c r="L130" s="35">
        <v>1</v>
      </c>
      <c r="M130" s="35"/>
    </row>
    <row r="131" spans="1:14" ht="25.5" outlineLevel="1">
      <c r="A131" s="37" t="s">
        <v>411</v>
      </c>
      <c r="B131" s="38" t="s">
        <v>412</v>
      </c>
      <c r="C131" s="39" t="s">
        <v>413</v>
      </c>
      <c r="D131" s="39" t="s">
        <v>414</v>
      </c>
      <c r="E131" s="39" t="s">
        <v>415</v>
      </c>
      <c r="F131" s="12">
        <v>1958</v>
      </c>
      <c r="G131" s="12">
        <v>2013</v>
      </c>
      <c r="H131" s="40">
        <v>33310</v>
      </c>
      <c r="I131" s="40"/>
      <c r="J131" s="41">
        <v>0.5</v>
      </c>
      <c r="K131" s="40">
        <f t="shared" ref="K131:K140" si="7">SUM(J131*H131)</f>
        <v>16655</v>
      </c>
      <c r="L131" s="40">
        <v>0</v>
      </c>
      <c r="M131" s="40"/>
    </row>
    <row r="132" spans="1:14" s="75" customFormat="1" ht="15.75" outlineLevel="1">
      <c r="A132" s="32" t="s">
        <v>411</v>
      </c>
      <c r="B132" s="33" t="s">
        <v>416</v>
      </c>
      <c r="C132" s="34" t="s">
        <v>413</v>
      </c>
      <c r="D132" s="34" t="s">
        <v>417</v>
      </c>
      <c r="E132" s="34" t="s">
        <v>418</v>
      </c>
      <c r="F132" s="11">
        <v>1920</v>
      </c>
      <c r="G132" s="11" t="s">
        <v>419</v>
      </c>
      <c r="H132" s="35">
        <v>5995</v>
      </c>
      <c r="I132" s="35"/>
      <c r="J132" s="36">
        <v>0.5</v>
      </c>
      <c r="K132" s="35">
        <f t="shared" si="7"/>
        <v>2997.5</v>
      </c>
      <c r="L132" s="35">
        <v>1</v>
      </c>
      <c r="M132" s="35"/>
      <c r="N132" s="20"/>
    </row>
    <row r="133" spans="1:14" outlineLevel="1">
      <c r="A133" s="43" t="s">
        <v>420</v>
      </c>
      <c r="B133" s="44" t="s">
        <v>421</v>
      </c>
      <c r="C133" s="45" t="s">
        <v>413</v>
      </c>
      <c r="D133" s="45" t="s">
        <v>422</v>
      </c>
      <c r="E133" s="45" t="s">
        <v>423</v>
      </c>
      <c r="F133" s="14">
        <v>1971</v>
      </c>
      <c r="G133" s="14" t="s">
        <v>424</v>
      </c>
      <c r="H133" s="46">
        <v>49403</v>
      </c>
      <c r="I133" s="46"/>
      <c r="J133" s="47">
        <v>1</v>
      </c>
      <c r="K133" s="46">
        <f t="shared" si="7"/>
        <v>49403</v>
      </c>
      <c r="L133" s="46">
        <v>1</v>
      </c>
      <c r="M133" s="46"/>
    </row>
    <row r="134" spans="1:14" outlineLevel="1">
      <c r="A134" s="37" t="s">
        <v>425</v>
      </c>
      <c r="B134" s="38" t="s">
        <v>426</v>
      </c>
      <c r="C134" s="39" t="s">
        <v>413</v>
      </c>
      <c r="D134" s="39" t="s">
        <v>427</v>
      </c>
      <c r="E134" s="39" t="s">
        <v>428</v>
      </c>
      <c r="F134" s="12" t="s">
        <v>388</v>
      </c>
      <c r="G134" s="12" t="s">
        <v>429</v>
      </c>
      <c r="H134" s="40">
        <v>10892</v>
      </c>
      <c r="I134" s="40"/>
      <c r="J134" s="41">
        <v>1</v>
      </c>
      <c r="K134" s="40">
        <f t="shared" si="7"/>
        <v>10892</v>
      </c>
      <c r="L134" s="40">
        <v>1</v>
      </c>
      <c r="M134" s="40"/>
    </row>
    <row r="135" spans="1:14" ht="25.5" outlineLevel="1">
      <c r="A135" s="32" t="s">
        <v>430</v>
      </c>
      <c r="B135" s="33" t="s">
        <v>431</v>
      </c>
      <c r="C135" s="34" t="s">
        <v>413</v>
      </c>
      <c r="D135" s="34" t="s">
        <v>432</v>
      </c>
      <c r="E135" s="34" t="s">
        <v>433</v>
      </c>
      <c r="F135" s="11">
        <v>1966</v>
      </c>
      <c r="G135" s="11" t="s">
        <v>56</v>
      </c>
      <c r="H135" s="35">
        <v>118356</v>
      </c>
      <c r="I135" s="35"/>
      <c r="J135" s="36">
        <v>1</v>
      </c>
      <c r="K135" s="35">
        <f t="shared" si="7"/>
        <v>118356</v>
      </c>
      <c r="L135" s="35">
        <v>0</v>
      </c>
      <c r="M135" s="35"/>
      <c r="N135" s="75"/>
    </row>
    <row r="136" spans="1:14" outlineLevel="1">
      <c r="A136" s="32" t="s">
        <v>434</v>
      </c>
      <c r="B136" s="33" t="s">
        <v>435</v>
      </c>
      <c r="C136" s="34" t="s">
        <v>413</v>
      </c>
      <c r="D136" s="34" t="s">
        <v>436</v>
      </c>
      <c r="E136" s="34" t="s">
        <v>437</v>
      </c>
      <c r="F136" s="11">
        <v>1998</v>
      </c>
      <c r="G136" s="11" t="s">
        <v>56</v>
      </c>
      <c r="H136" s="35">
        <v>9300</v>
      </c>
      <c r="I136" s="35"/>
      <c r="J136" s="36">
        <v>1</v>
      </c>
      <c r="K136" s="35">
        <f t="shared" si="7"/>
        <v>9300</v>
      </c>
      <c r="L136" s="35">
        <v>1</v>
      </c>
      <c r="M136" s="35"/>
    </row>
    <row r="137" spans="1:14" ht="25.5" outlineLevel="1">
      <c r="A137" s="32" t="s">
        <v>438</v>
      </c>
      <c r="B137" s="33" t="s">
        <v>439</v>
      </c>
      <c r="C137" s="34" t="s">
        <v>413</v>
      </c>
      <c r="D137" s="34" t="s">
        <v>440</v>
      </c>
      <c r="E137" s="34" t="s">
        <v>441</v>
      </c>
      <c r="F137" s="11">
        <v>1905</v>
      </c>
      <c r="G137" s="11">
        <v>1968</v>
      </c>
      <c r="H137" s="35">
        <v>7953</v>
      </c>
      <c r="I137" s="35"/>
      <c r="J137" s="36">
        <v>0.5</v>
      </c>
      <c r="K137" s="35">
        <f t="shared" si="7"/>
        <v>3976.5</v>
      </c>
      <c r="L137" s="35">
        <v>1</v>
      </c>
      <c r="M137" s="35"/>
    </row>
    <row r="138" spans="1:14" outlineLevel="1">
      <c r="A138" s="32" t="s">
        <v>442</v>
      </c>
      <c r="B138" s="33" t="s">
        <v>443</v>
      </c>
      <c r="C138" s="34" t="s">
        <v>413</v>
      </c>
      <c r="D138" s="34" t="s">
        <v>444</v>
      </c>
      <c r="E138" s="34" t="s">
        <v>445</v>
      </c>
      <c r="F138" s="11"/>
      <c r="G138" s="11">
        <v>2016</v>
      </c>
      <c r="H138" s="35">
        <v>6274</v>
      </c>
      <c r="I138" s="35"/>
      <c r="J138" s="36">
        <v>0</v>
      </c>
      <c r="K138" s="35">
        <f>SUM(J138*H138)</f>
        <v>0</v>
      </c>
      <c r="L138" s="35">
        <v>1</v>
      </c>
      <c r="M138" s="35"/>
    </row>
    <row r="139" spans="1:14" ht="25.5" outlineLevel="1">
      <c r="A139" s="32" t="s">
        <v>446</v>
      </c>
      <c r="B139" s="33" t="s">
        <v>447</v>
      </c>
      <c r="C139" s="34" t="s">
        <v>413</v>
      </c>
      <c r="D139" s="45" t="s">
        <v>448</v>
      </c>
      <c r="E139" s="34" t="s">
        <v>449</v>
      </c>
      <c r="F139" s="11">
        <v>1833</v>
      </c>
      <c r="G139" s="11" t="s">
        <v>450</v>
      </c>
      <c r="H139" s="35">
        <v>11256</v>
      </c>
      <c r="I139" s="35"/>
      <c r="J139" s="36">
        <v>0.75</v>
      </c>
      <c r="K139" s="35">
        <f t="shared" si="7"/>
        <v>8442</v>
      </c>
      <c r="L139" s="35">
        <v>1</v>
      </c>
      <c r="M139" s="35"/>
    </row>
    <row r="140" spans="1:14" outlineLevel="1">
      <c r="A140" s="43" t="s">
        <v>451</v>
      </c>
      <c r="B140" s="44" t="s">
        <v>452</v>
      </c>
      <c r="C140" s="45" t="s">
        <v>413</v>
      </c>
      <c r="D140" s="45" t="s">
        <v>453</v>
      </c>
      <c r="E140" s="45" t="s">
        <v>454</v>
      </c>
      <c r="F140" s="14">
        <v>1899</v>
      </c>
      <c r="G140" s="14" t="s">
        <v>455</v>
      </c>
      <c r="H140" s="46">
        <v>6887</v>
      </c>
      <c r="I140" s="46"/>
      <c r="J140" s="47">
        <v>0.3</v>
      </c>
      <c r="K140" s="46">
        <f t="shared" si="7"/>
        <v>2066.1</v>
      </c>
      <c r="L140" s="46">
        <v>0</v>
      </c>
      <c r="M140" s="46"/>
    </row>
    <row r="141" spans="1:14" s="76" customFormat="1">
      <c r="A141" s="74"/>
      <c r="B141" s="102" t="s">
        <v>456</v>
      </c>
      <c r="C141" s="103"/>
      <c r="D141" s="103"/>
      <c r="E141" s="103"/>
      <c r="F141" s="103"/>
      <c r="G141" s="103"/>
      <c r="H141" s="57">
        <f>SUM(H130:H140)</f>
        <v>262717</v>
      </c>
      <c r="I141" s="57">
        <f>COUNT(H130:H140)-1</f>
        <v>10</v>
      </c>
      <c r="J141" s="58"/>
      <c r="K141" s="57">
        <f>SUM(K131:K140)</f>
        <v>222088.1</v>
      </c>
      <c r="L141" s="57">
        <f>SUM(L130:L140)</f>
        <v>8</v>
      </c>
      <c r="M141" s="59">
        <f>SUM(L141/I141)</f>
        <v>0.8</v>
      </c>
    </row>
    <row r="142" spans="1:14" outlineLevel="1">
      <c r="A142" s="32" t="s">
        <v>457</v>
      </c>
      <c r="B142" s="33" t="s">
        <v>458</v>
      </c>
      <c r="C142" s="34" t="s">
        <v>459</v>
      </c>
      <c r="D142" s="34"/>
      <c r="E142" s="34" t="s">
        <v>460</v>
      </c>
      <c r="F142" s="11" t="s">
        <v>20</v>
      </c>
      <c r="G142" s="11" t="s">
        <v>56</v>
      </c>
      <c r="H142" s="35">
        <v>300</v>
      </c>
      <c r="I142" s="35"/>
      <c r="J142" s="36">
        <v>0</v>
      </c>
      <c r="K142" s="35">
        <f>SUM(J142*H142)</f>
        <v>0</v>
      </c>
      <c r="L142" s="35"/>
      <c r="M142" s="35"/>
    </row>
    <row r="143" spans="1:14" outlineLevel="1">
      <c r="A143" s="32" t="s">
        <v>461</v>
      </c>
      <c r="B143" s="33" t="s">
        <v>462</v>
      </c>
      <c r="C143" s="34" t="s">
        <v>459</v>
      </c>
      <c r="D143" s="34"/>
      <c r="E143" s="34" t="s">
        <v>460</v>
      </c>
      <c r="F143" s="11">
        <v>2014</v>
      </c>
      <c r="G143" s="11" t="s">
        <v>56</v>
      </c>
      <c r="H143" s="35">
        <v>1895</v>
      </c>
      <c r="I143" s="35"/>
      <c r="J143" s="36">
        <v>1</v>
      </c>
      <c r="K143" s="35">
        <f>SUM(J143*H143)</f>
        <v>1895</v>
      </c>
      <c r="L143" s="35">
        <v>0</v>
      </c>
      <c r="M143" s="35"/>
    </row>
    <row r="144" spans="1:14" ht="25.5" outlineLevel="1">
      <c r="A144" s="32" t="s">
        <v>463</v>
      </c>
      <c r="B144" s="33" t="s">
        <v>464</v>
      </c>
      <c r="C144" s="34" t="s">
        <v>459</v>
      </c>
      <c r="D144" s="34" t="s">
        <v>465</v>
      </c>
      <c r="E144" s="34" t="s">
        <v>460</v>
      </c>
      <c r="F144" s="11">
        <v>2014</v>
      </c>
      <c r="G144" s="11" t="s">
        <v>56</v>
      </c>
      <c r="H144" s="35">
        <v>22700</v>
      </c>
      <c r="I144" s="35"/>
      <c r="J144" s="36">
        <v>1</v>
      </c>
      <c r="K144" s="35">
        <f>SUM(J144*H144)</f>
        <v>22700</v>
      </c>
      <c r="L144" s="35">
        <v>0</v>
      </c>
      <c r="M144" s="35"/>
    </row>
    <row r="145" spans="1:14" ht="38.25" outlineLevel="1">
      <c r="A145" s="32" t="s">
        <v>466</v>
      </c>
      <c r="B145" s="33" t="s">
        <v>467</v>
      </c>
      <c r="C145" s="34" t="s">
        <v>459</v>
      </c>
      <c r="D145" s="34" t="s">
        <v>468</v>
      </c>
      <c r="E145" s="34" t="s">
        <v>469</v>
      </c>
      <c r="F145" s="11">
        <v>1980</v>
      </c>
      <c r="G145" s="11" t="s">
        <v>56</v>
      </c>
      <c r="H145" s="35">
        <f>86000+9300+29251</f>
        <v>124551</v>
      </c>
      <c r="I145" s="35"/>
      <c r="J145" s="36">
        <v>1</v>
      </c>
      <c r="K145" s="35">
        <f>SUM(J145*H145)</f>
        <v>124551</v>
      </c>
      <c r="L145" s="35">
        <v>0</v>
      </c>
      <c r="M145" s="35"/>
    </row>
    <row r="146" spans="1:14" ht="25.5" outlineLevel="1">
      <c r="A146" s="43" t="s">
        <v>470</v>
      </c>
      <c r="B146" s="44" t="s">
        <v>471</v>
      </c>
      <c r="C146" s="45" t="s">
        <v>459</v>
      </c>
      <c r="D146" s="45" t="s">
        <v>472</v>
      </c>
      <c r="E146" s="45" t="s">
        <v>473</v>
      </c>
      <c r="F146" s="14">
        <v>1993</v>
      </c>
      <c r="G146" s="14" t="s">
        <v>474</v>
      </c>
      <c r="H146" s="46">
        <v>17000</v>
      </c>
      <c r="I146" s="46"/>
      <c r="J146" s="47">
        <v>0.5</v>
      </c>
      <c r="K146" s="46">
        <f>SUM(J146*H146)</f>
        <v>8500</v>
      </c>
      <c r="L146" s="46">
        <v>1</v>
      </c>
      <c r="M146" s="46"/>
    </row>
    <row r="147" spans="1:14">
      <c r="A147" s="74"/>
      <c r="B147" s="102" t="s">
        <v>475</v>
      </c>
      <c r="C147" s="103"/>
      <c r="D147" s="103"/>
      <c r="E147" s="103"/>
      <c r="F147" s="103"/>
      <c r="G147" s="103"/>
      <c r="H147" s="57">
        <f>SUM(H142:H146)</f>
        <v>166446</v>
      </c>
      <c r="I147" s="57">
        <f>COUNT(H142:H146)</f>
        <v>5</v>
      </c>
      <c r="J147" s="58"/>
      <c r="K147" s="57">
        <f>SUM(K142:K146)</f>
        <v>157646</v>
      </c>
      <c r="L147" s="57">
        <f>SUM(L142:L146)</f>
        <v>1</v>
      </c>
      <c r="M147" s="59">
        <f>SUM(L147/I147)</f>
        <v>0.2</v>
      </c>
    </row>
    <row r="148" spans="1:14" outlineLevel="1">
      <c r="A148" s="32" t="s">
        <v>476</v>
      </c>
      <c r="B148" s="38" t="s">
        <v>477</v>
      </c>
      <c r="C148" s="39" t="s">
        <v>478</v>
      </c>
      <c r="D148" s="39" t="s">
        <v>479</v>
      </c>
      <c r="E148" s="39" t="s">
        <v>480</v>
      </c>
      <c r="F148" s="12" t="s">
        <v>20</v>
      </c>
      <c r="G148" s="12">
        <v>1983</v>
      </c>
      <c r="H148" s="40">
        <v>2460</v>
      </c>
      <c r="I148" s="40"/>
      <c r="J148" s="41">
        <v>0.5</v>
      </c>
      <c r="K148" s="40">
        <f>SUM(J148*H148)</f>
        <v>1230</v>
      </c>
      <c r="L148" s="40">
        <v>1</v>
      </c>
      <c r="M148" s="40"/>
    </row>
    <row r="149" spans="1:14" outlineLevel="1">
      <c r="A149" s="32" t="s">
        <v>481</v>
      </c>
      <c r="B149" s="33" t="s">
        <v>482</v>
      </c>
      <c r="C149" s="34" t="s">
        <v>478</v>
      </c>
      <c r="D149" s="34" t="s">
        <v>479</v>
      </c>
      <c r="E149" s="34" t="s">
        <v>483</v>
      </c>
      <c r="F149" s="11" t="s">
        <v>20</v>
      </c>
      <c r="G149" s="11">
        <v>1997</v>
      </c>
      <c r="H149" s="35">
        <v>1800</v>
      </c>
      <c r="I149" s="35"/>
      <c r="J149" s="36">
        <v>0</v>
      </c>
      <c r="K149" s="35">
        <f>SUM(J149*H149)</f>
        <v>0</v>
      </c>
      <c r="L149" s="35">
        <v>1</v>
      </c>
      <c r="M149" s="35"/>
    </row>
    <row r="150" spans="1:14" outlineLevel="1">
      <c r="A150" s="43" t="s">
        <v>470</v>
      </c>
      <c r="B150" s="44" t="s">
        <v>471</v>
      </c>
      <c r="C150" s="45" t="s">
        <v>478</v>
      </c>
      <c r="D150" s="45" t="s">
        <v>484</v>
      </c>
      <c r="E150" s="45" t="s">
        <v>473</v>
      </c>
      <c r="F150" s="14" t="s">
        <v>181</v>
      </c>
      <c r="G150" s="14">
        <v>2002</v>
      </c>
      <c r="H150" s="46">
        <v>8000</v>
      </c>
      <c r="I150" s="46"/>
      <c r="J150" s="47">
        <v>0.5</v>
      </c>
      <c r="K150" s="46">
        <f>SUM(J150*H150)</f>
        <v>4000</v>
      </c>
      <c r="L150" s="46"/>
      <c r="M150" s="46"/>
    </row>
    <row r="151" spans="1:14">
      <c r="A151" s="74"/>
      <c r="B151" s="102" t="s">
        <v>485</v>
      </c>
      <c r="C151" s="103"/>
      <c r="D151" s="103"/>
      <c r="E151" s="103"/>
      <c r="F151" s="103"/>
      <c r="G151" s="103"/>
      <c r="H151" s="57">
        <f>SUM(H148:H150)</f>
        <v>12260</v>
      </c>
      <c r="I151" s="57">
        <f>COUNT(H148:H150)-1</f>
        <v>2</v>
      </c>
      <c r="J151" s="58"/>
      <c r="K151" s="57">
        <f>SUM(K148:K150)</f>
        <v>5230</v>
      </c>
      <c r="L151" s="57">
        <f>SUM(L148:L150)</f>
        <v>2</v>
      </c>
      <c r="M151" s="59">
        <f>SUM(L151/I151)</f>
        <v>1</v>
      </c>
    </row>
    <row r="152" spans="1:14" ht="25.5" outlineLevel="1">
      <c r="A152" s="77" t="s">
        <v>185</v>
      </c>
      <c r="B152" s="78" t="s">
        <v>486</v>
      </c>
      <c r="C152" s="79" t="s">
        <v>487</v>
      </c>
      <c r="D152" s="79" t="s">
        <v>488</v>
      </c>
      <c r="E152" s="79" t="s">
        <v>489</v>
      </c>
      <c r="F152" s="11" t="s">
        <v>85</v>
      </c>
      <c r="G152" s="11">
        <v>2006</v>
      </c>
      <c r="H152" s="35">
        <v>500</v>
      </c>
      <c r="I152" s="35"/>
      <c r="J152" s="36">
        <v>0</v>
      </c>
      <c r="K152" s="35">
        <f t="shared" ref="K152:K156" si="8">SUM(J152*H152)</f>
        <v>0</v>
      </c>
      <c r="L152" s="35">
        <v>1</v>
      </c>
      <c r="M152" s="35"/>
    </row>
    <row r="153" spans="1:14" outlineLevel="1">
      <c r="A153" s="32" t="s">
        <v>490</v>
      </c>
      <c r="B153" s="33" t="s">
        <v>491</v>
      </c>
      <c r="C153" s="34" t="s">
        <v>487</v>
      </c>
      <c r="D153" s="34" t="s">
        <v>492</v>
      </c>
      <c r="E153" s="34" t="s">
        <v>493</v>
      </c>
      <c r="F153" s="11">
        <v>1900</v>
      </c>
      <c r="G153" s="11">
        <v>2010</v>
      </c>
      <c r="H153" s="35">
        <v>992</v>
      </c>
      <c r="I153" s="35"/>
      <c r="J153" s="36">
        <v>0</v>
      </c>
      <c r="K153" s="35">
        <f t="shared" si="8"/>
        <v>0</v>
      </c>
      <c r="L153" s="35"/>
      <c r="M153" s="35"/>
    </row>
    <row r="154" spans="1:14" outlineLevel="1">
      <c r="A154" s="32" t="s">
        <v>494</v>
      </c>
      <c r="B154" s="33" t="s">
        <v>129</v>
      </c>
      <c r="C154" s="34" t="s">
        <v>487</v>
      </c>
      <c r="D154" s="34" t="s">
        <v>495</v>
      </c>
      <c r="E154" s="34" t="s">
        <v>129</v>
      </c>
      <c r="F154" s="11" t="s">
        <v>181</v>
      </c>
      <c r="G154" s="11">
        <v>1994</v>
      </c>
      <c r="H154" s="35">
        <v>42500</v>
      </c>
      <c r="I154" s="35"/>
      <c r="J154" s="36">
        <v>1</v>
      </c>
      <c r="K154" s="35">
        <f t="shared" si="8"/>
        <v>42500</v>
      </c>
      <c r="L154" s="35">
        <v>1</v>
      </c>
      <c r="M154" s="35"/>
    </row>
    <row r="155" spans="1:14" ht="25.5" outlineLevel="1">
      <c r="A155" s="32" t="s">
        <v>496</v>
      </c>
      <c r="B155" s="33" t="s">
        <v>497</v>
      </c>
      <c r="C155" s="34" t="s">
        <v>487</v>
      </c>
      <c r="D155" s="34" t="s">
        <v>498</v>
      </c>
      <c r="E155" s="34" t="s">
        <v>499</v>
      </c>
      <c r="F155" s="11" t="s">
        <v>20</v>
      </c>
      <c r="G155" s="11">
        <v>1967</v>
      </c>
      <c r="H155" s="35">
        <v>6000</v>
      </c>
      <c r="I155" s="35"/>
      <c r="J155" s="36">
        <v>0.5</v>
      </c>
      <c r="K155" s="35">
        <f t="shared" si="8"/>
        <v>3000</v>
      </c>
      <c r="L155" s="35"/>
      <c r="M155" s="35"/>
    </row>
    <row r="156" spans="1:14" ht="25.5" outlineLevel="1">
      <c r="A156" s="32" t="s">
        <v>424</v>
      </c>
      <c r="B156" s="33" t="s">
        <v>500</v>
      </c>
      <c r="C156" s="34" t="s">
        <v>487</v>
      </c>
      <c r="D156" s="34" t="s">
        <v>501</v>
      </c>
      <c r="E156" s="34" t="s">
        <v>499</v>
      </c>
      <c r="F156" s="11" t="s">
        <v>20</v>
      </c>
      <c r="G156" s="11">
        <v>1967</v>
      </c>
      <c r="H156" s="35">
        <v>8500</v>
      </c>
      <c r="I156" s="35"/>
      <c r="J156" s="36">
        <v>0</v>
      </c>
      <c r="K156" s="35">
        <f t="shared" si="8"/>
        <v>0</v>
      </c>
      <c r="L156" s="35"/>
      <c r="M156" s="35"/>
    </row>
    <row r="157" spans="1:14">
      <c r="A157" s="74"/>
      <c r="B157" s="102" t="s">
        <v>502</v>
      </c>
      <c r="C157" s="103"/>
      <c r="D157" s="103"/>
      <c r="E157" s="103"/>
      <c r="F157" s="103"/>
      <c r="G157" s="103"/>
      <c r="H157" s="57">
        <f>SUM(H152:H156)</f>
        <v>58492</v>
      </c>
      <c r="I157" s="57">
        <f>COUNT(H152:H156)-1-1-1-1-1</f>
        <v>0</v>
      </c>
      <c r="J157" s="57"/>
      <c r="K157" s="57">
        <f>SUM(K152:K156)</f>
        <v>45500</v>
      </c>
      <c r="L157" s="57">
        <f>SUM(L152:L156)</f>
        <v>2</v>
      </c>
      <c r="M157" s="59" t="e">
        <f>SUM(L157/I157)</f>
        <v>#DIV/0!</v>
      </c>
    </row>
    <row r="158" spans="1:14" ht="13.5" thickBot="1">
      <c r="A158" s="53"/>
      <c r="B158" s="80"/>
      <c r="H158" s="81"/>
      <c r="I158" s="81"/>
      <c r="J158" s="81"/>
      <c r="K158" s="81"/>
      <c r="L158" s="81"/>
      <c r="M158" s="81"/>
    </row>
    <row r="159" spans="1:14" ht="16.5" thickBot="1">
      <c r="A159" s="82"/>
      <c r="B159" s="111" t="s">
        <v>503</v>
      </c>
      <c r="C159" s="112"/>
      <c r="D159" s="112"/>
      <c r="E159" s="112"/>
      <c r="F159" s="112"/>
      <c r="G159" s="112"/>
      <c r="H159" s="83">
        <f>SUM(H157,H151,H147,H141,,H129,H118,H44,H30)</f>
        <v>1996686</v>
      </c>
      <c r="I159" s="83">
        <f>SUM(I157,I151,I147,I141,,I129,I118,I30,I44)</f>
        <v>188</v>
      </c>
      <c r="J159" s="83"/>
      <c r="K159" s="83">
        <f>SUM(K157,K44,K151,K147,K141,,K129,K118,K30)</f>
        <v>1459936.7999999998</v>
      </c>
      <c r="L159" s="83">
        <f>SUM(L157,L151,L147,L141,,L129,L118,L30)</f>
        <v>27</v>
      </c>
      <c r="M159" s="84">
        <f>SUM(L159/I159)</f>
        <v>0.14361702127659576</v>
      </c>
      <c r="N159" s="85"/>
    </row>
    <row r="160" spans="1:14">
      <c r="B160" s="20" t="s">
        <v>504</v>
      </c>
    </row>
    <row r="161" spans="1:13" ht="13.5" thickBot="1">
      <c r="K161" s="88">
        <f>SUM(K159/H159)</f>
        <v>0.73117996520234019</v>
      </c>
    </row>
    <row r="162" spans="1:13" ht="13.5" thickBot="1">
      <c r="A162" s="24" t="s">
        <v>505</v>
      </c>
      <c r="B162" s="9" t="s">
        <v>5</v>
      </c>
      <c r="C162" s="9" t="s">
        <v>6</v>
      </c>
      <c r="D162" s="9"/>
      <c r="E162" s="9"/>
      <c r="F162" s="9"/>
      <c r="G162" s="9"/>
      <c r="H162" s="26" t="s">
        <v>506</v>
      </c>
      <c r="I162" s="26"/>
      <c r="J162" s="26"/>
      <c r="K162" s="26"/>
      <c r="L162" s="26"/>
      <c r="M162" s="26"/>
    </row>
    <row r="163" spans="1:13">
      <c r="A163" s="89"/>
      <c r="B163" s="76" t="s">
        <v>507</v>
      </c>
      <c r="C163" s="76" t="s">
        <v>508</v>
      </c>
      <c r="D163" s="18"/>
      <c r="E163" s="18"/>
      <c r="F163" s="18"/>
      <c r="G163" s="18"/>
      <c r="H163" s="90">
        <v>8.2759999999999998</v>
      </c>
      <c r="I163" s="90"/>
      <c r="J163" s="90"/>
      <c r="K163" s="90"/>
      <c r="L163" s="90"/>
      <c r="M163" s="90"/>
    </row>
    <row r="164" spans="1:13">
      <c r="A164" s="89"/>
      <c r="B164" s="76" t="s">
        <v>509</v>
      </c>
      <c r="C164" s="76" t="s">
        <v>510</v>
      </c>
      <c r="D164" s="18"/>
      <c r="E164" s="18"/>
      <c r="F164" s="18"/>
      <c r="G164" s="18"/>
      <c r="H164" s="90">
        <v>14.215</v>
      </c>
      <c r="I164" s="90"/>
      <c r="J164" s="90"/>
      <c r="K164" s="90"/>
      <c r="L164" s="90"/>
      <c r="M164" s="90"/>
    </row>
    <row r="165" spans="1:13">
      <c r="A165" s="89"/>
      <c r="B165" s="76" t="s">
        <v>511</v>
      </c>
      <c r="C165" s="76" t="s">
        <v>512</v>
      </c>
      <c r="D165" s="18"/>
      <c r="E165" s="18"/>
      <c r="F165" s="18"/>
      <c r="G165" s="18"/>
      <c r="H165" s="90">
        <v>12.407</v>
      </c>
      <c r="I165" s="90"/>
      <c r="J165" s="90"/>
      <c r="K165" s="90"/>
      <c r="L165" s="90"/>
      <c r="M165" s="90"/>
    </row>
    <row r="166" spans="1:13">
      <c r="A166" s="89"/>
      <c r="B166" s="76" t="s">
        <v>513</v>
      </c>
      <c r="C166" s="76" t="s">
        <v>508</v>
      </c>
      <c r="D166" s="18"/>
      <c r="E166" s="18"/>
      <c r="F166" s="18"/>
      <c r="G166" s="18"/>
      <c r="H166" s="90">
        <v>2.1219999999999999</v>
      </c>
      <c r="I166" s="90"/>
      <c r="J166" s="90"/>
      <c r="K166" s="90"/>
      <c r="L166" s="90"/>
      <c r="M166" s="90"/>
    </row>
    <row r="167" spans="1:13">
      <c r="A167" s="89"/>
      <c r="B167" s="76" t="s">
        <v>514</v>
      </c>
      <c r="C167" s="76" t="s">
        <v>510</v>
      </c>
      <c r="D167" s="18"/>
      <c r="E167" s="18"/>
      <c r="F167" s="18"/>
      <c r="G167" s="18"/>
      <c r="H167" s="90">
        <v>4.5759999999999996</v>
      </c>
      <c r="I167" s="90"/>
      <c r="J167" s="90"/>
      <c r="K167" s="90"/>
      <c r="L167" s="90"/>
      <c r="M167" s="90"/>
    </row>
    <row r="168" spans="1:13">
      <c r="A168" s="89"/>
      <c r="B168" s="76" t="s">
        <v>515</v>
      </c>
      <c r="C168" s="76" t="s">
        <v>510</v>
      </c>
      <c r="D168" s="18"/>
      <c r="E168" s="18"/>
      <c r="F168" s="18"/>
      <c r="G168" s="18"/>
      <c r="H168" s="90">
        <v>20.21</v>
      </c>
      <c r="I168" s="90"/>
      <c r="J168" s="90"/>
      <c r="K168" s="90"/>
      <c r="L168" s="90"/>
      <c r="M168" s="90"/>
    </row>
    <row r="169" spans="1:13">
      <c r="A169" s="89"/>
      <c r="B169" s="76" t="s">
        <v>516</v>
      </c>
      <c r="C169" s="76" t="s">
        <v>512</v>
      </c>
      <c r="D169" s="18"/>
      <c r="E169" s="18"/>
      <c r="F169" s="18"/>
      <c r="G169" s="18"/>
      <c r="H169" s="90">
        <v>3.2330000000000001</v>
      </c>
      <c r="I169" s="90"/>
      <c r="J169" s="90"/>
      <c r="K169" s="90"/>
      <c r="L169" s="90"/>
      <c r="M169" s="90"/>
    </row>
    <row r="170" spans="1:13" ht="25.5">
      <c r="A170" s="89"/>
      <c r="B170" s="76" t="s">
        <v>517</v>
      </c>
      <c r="C170" s="76" t="s">
        <v>510</v>
      </c>
      <c r="D170" s="18"/>
      <c r="E170" s="18"/>
      <c r="F170" s="18"/>
      <c r="G170" s="18"/>
      <c r="H170" s="90">
        <v>10.153</v>
      </c>
      <c r="I170" s="90"/>
      <c r="J170" s="90"/>
      <c r="K170" s="90"/>
      <c r="L170" s="90"/>
      <c r="M170" s="90"/>
    </row>
    <row r="171" spans="1:13">
      <c r="A171" s="89"/>
      <c r="B171" s="76" t="s">
        <v>518</v>
      </c>
      <c r="C171" s="76" t="s">
        <v>508</v>
      </c>
      <c r="D171" s="18"/>
      <c r="E171" s="18"/>
      <c r="F171" s="18"/>
      <c r="G171" s="18"/>
      <c r="H171" s="90">
        <v>2.6509999999999998</v>
      </c>
      <c r="I171" s="90"/>
      <c r="J171" s="90"/>
      <c r="K171" s="90"/>
      <c r="L171" s="90"/>
      <c r="M171" s="90"/>
    </row>
    <row r="172" spans="1:13">
      <c r="A172" s="89"/>
      <c r="B172" s="76" t="s">
        <v>519</v>
      </c>
      <c r="C172" s="76" t="s">
        <v>510</v>
      </c>
      <c r="D172" s="18"/>
      <c r="E172" s="18"/>
      <c r="F172" s="18"/>
      <c r="G172" s="18"/>
      <c r="H172" s="90">
        <v>1.4750000000000001</v>
      </c>
      <c r="I172" s="90"/>
      <c r="J172" s="90"/>
      <c r="K172" s="90"/>
      <c r="L172" s="90"/>
      <c r="M172" s="90"/>
    </row>
    <row r="173" spans="1:13" ht="25.5">
      <c r="A173" s="89"/>
      <c r="B173" s="76" t="s">
        <v>520</v>
      </c>
      <c r="C173" s="76" t="s">
        <v>510</v>
      </c>
      <c r="D173" s="18"/>
      <c r="E173" s="18"/>
      <c r="F173" s="18"/>
      <c r="G173" s="18"/>
      <c r="H173" s="90">
        <f>0.154+0.253+0.125+0.91+0.384+0.5</f>
        <v>2.3260000000000001</v>
      </c>
      <c r="I173" s="90"/>
      <c r="J173" s="90"/>
      <c r="K173" s="90"/>
      <c r="L173" s="90"/>
      <c r="M173" s="90"/>
    </row>
    <row r="174" spans="1:13" ht="25.5">
      <c r="A174" s="86" t="s">
        <v>521</v>
      </c>
      <c r="B174" s="76" t="s">
        <v>522</v>
      </c>
      <c r="C174" s="76" t="s">
        <v>510</v>
      </c>
      <c r="D174" s="76" t="s">
        <v>523</v>
      </c>
      <c r="E174" s="76"/>
      <c r="H174" s="87">
        <v>13.242000000000001</v>
      </c>
    </row>
    <row r="175" spans="1:13">
      <c r="A175" s="89"/>
      <c r="B175" s="110" t="s">
        <v>524</v>
      </c>
      <c r="C175" s="110"/>
      <c r="D175" s="18"/>
      <c r="E175" s="18"/>
      <c r="F175" s="18"/>
      <c r="G175" s="18"/>
      <c r="H175" s="91">
        <f>SUM(H163:H174)</f>
        <v>94.885999999999996</v>
      </c>
      <c r="I175" s="91"/>
      <c r="J175" s="91"/>
      <c r="K175" s="91"/>
      <c r="L175" s="91"/>
      <c r="M175" s="91"/>
    </row>
    <row r="176" spans="1:13" ht="25.5">
      <c r="A176" s="86" t="s">
        <v>525</v>
      </c>
      <c r="B176" s="20" t="s">
        <v>526</v>
      </c>
      <c r="C176" s="20" t="s">
        <v>527</v>
      </c>
      <c r="H176" s="90">
        <v>10.798</v>
      </c>
      <c r="I176" s="90"/>
      <c r="J176" s="90"/>
      <c r="K176" s="90"/>
      <c r="L176" s="90"/>
      <c r="M176" s="90"/>
    </row>
    <row r="177" spans="1:13">
      <c r="A177" s="86" t="s">
        <v>528</v>
      </c>
      <c r="B177" s="20" t="s">
        <v>529</v>
      </c>
      <c r="C177" s="20" t="s">
        <v>527</v>
      </c>
      <c r="H177" s="90">
        <v>20.629000000000001</v>
      </c>
      <c r="I177" s="90"/>
      <c r="J177" s="90"/>
      <c r="K177" s="90"/>
      <c r="L177" s="90"/>
      <c r="M177" s="90"/>
    </row>
    <row r="178" spans="1:13">
      <c r="A178" s="86" t="s">
        <v>530</v>
      </c>
      <c r="B178" s="20" t="s">
        <v>531</v>
      </c>
      <c r="C178" s="20" t="s">
        <v>527</v>
      </c>
      <c r="H178" s="90">
        <v>1.849</v>
      </c>
      <c r="I178" s="90"/>
      <c r="J178" s="90"/>
      <c r="K178" s="90"/>
      <c r="L178" s="90"/>
      <c r="M178" s="90"/>
    </row>
    <row r="179" spans="1:13">
      <c r="B179" s="110" t="s">
        <v>532</v>
      </c>
      <c r="C179" s="110"/>
      <c r="D179" s="18"/>
      <c r="E179" s="18"/>
      <c r="H179" s="92">
        <f>SUM(H176:H178)</f>
        <v>33.275999999999996</v>
      </c>
      <c r="I179" s="92"/>
      <c r="J179" s="92"/>
      <c r="K179" s="92"/>
      <c r="L179" s="92"/>
      <c r="M179" s="92"/>
    </row>
    <row r="180" spans="1:13" ht="25.5">
      <c r="B180" s="20" t="s">
        <v>533</v>
      </c>
      <c r="C180" s="20" t="s">
        <v>534</v>
      </c>
      <c r="D180" s="20" t="s">
        <v>535</v>
      </c>
      <c r="H180" s="87">
        <v>76</v>
      </c>
    </row>
    <row r="181" spans="1:13" ht="25.5">
      <c r="B181" s="20" t="s">
        <v>536</v>
      </c>
      <c r="C181" s="20" t="s">
        <v>534</v>
      </c>
      <c r="D181" s="20" t="s">
        <v>537</v>
      </c>
      <c r="F181" s="18"/>
      <c r="G181" s="18"/>
      <c r="H181" s="87">
        <v>60.207000000000001</v>
      </c>
    </row>
    <row r="182" spans="1:13">
      <c r="B182" s="110" t="s">
        <v>538</v>
      </c>
      <c r="C182" s="110"/>
      <c r="D182" s="18"/>
      <c r="E182" s="18"/>
      <c r="H182" s="92">
        <f>SUM(H180:H181)</f>
        <v>136.20699999999999</v>
      </c>
      <c r="I182" s="92"/>
      <c r="J182" s="92"/>
      <c r="K182" s="92"/>
      <c r="L182" s="92"/>
      <c r="M182" s="92"/>
    </row>
    <row r="183" spans="1:13">
      <c r="A183" s="86" t="s">
        <v>539</v>
      </c>
      <c r="B183" s="76" t="s">
        <v>540</v>
      </c>
      <c r="C183" s="76" t="s">
        <v>541</v>
      </c>
      <c r="D183" s="76"/>
      <c r="E183" s="76"/>
      <c r="H183" s="92"/>
      <c r="I183" s="92"/>
      <c r="J183" s="92"/>
      <c r="K183" s="92"/>
      <c r="L183" s="92"/>
      <c r="M183" s="92"/>
    </row>
    <row r="184" spans="1:13">
      <c r="B184" s="110" t="s">
        <v>542</v>
      </c>
      <c r="C184" s="110"/>
      <c r="D184" s="18"/>
      <c r="E184" s="18"/>
      <c r="F184" s="18"/>
      <c r="G184" s="18"/>
      <c r="H184" s="92"/>
      <c r="I184" s="92"/>
      <c r="J184" s="92"/>
      <c r="K184" s="92"/>
      <c r="L184" s="92"/>
      <c r="M184" s="92"/>
    </row>
    <row r="185" spans="1:13">
      <c r="B185" s="110" t="s">
        <v>543</v>
      </c>
      <c r="C185" s="110"/>
      <c r="D185" s="18"/>
      <c r="E185" s="18"/>
      <c r="F185" s="18"/>
      <c r="G185" s="18"/>
      <c r="H185" s="92">
        <f>SUM(H182,H179,H175)</f>
        <v>264.36900000000003</v>
      </c>
      <c r="I185" s="92"/>
      <c r="J185" s="92"/>
      <c r="K185" s="92"/>
      <c r="L185" s="92"/>
      <c r="M185" s="92"/>
    </row>
    <row r="186" spans="1:13" ht="13.5" thickBot="1"/>
    <row r="187" spans="1:13" ht="13.5" thickBot="1">
      <c r="A187" s="24" t="s">
        <v>505</v>
      </c>
      <c r="B187" s="9" t="s">
        <v>5</v>
      </c>
      <c r="C187" s="9" t="s">
        <v>6</v>
      </c>
      <c r="D187" s="9"/>
      <c r="E187" s="9"/>
      <c r="F187" s="19"/>
      <c r="G187" s="19"/>
      <c r="H187" s="26" t="s">
        <v>544</v>
      </c>
      <c r="I187" s="26"/>
      <c r="J187" s="26"/>
      <c r="K187" s="26"/>
      <c r="L187" s="26"/>
      <c r="M187" s="26"/>
    </row>
    <row r="188" spans="1:13">
      <c r="A188" s="86">
        <v>1723</v>
      </c>
      <c r="B188" s="20" t="s">
        <v>545</v>
      </c>
      <c r="C188" s="20" t="s">
        <v>546</v>
      </c>
      <c r="D188" s="20" t="s">
        <v>547</v>
      </c>
    </row>
    <row r="189" spans="1:13">
      <c r="A189" s="86">
        <v>1725</v>
      </c>
      <c r="B189" s="20" t="s">
        <v>548</v>
      </c>
      <c r="C189" s="20" t="s">
        <v>546</v>
      </c>
      <c r="D189" s="20" t="s">
        <v>549</v>
      </c>
      <c r="F189" s="20"/>
      <c r="G189" s="20"/>
      <c r="H189" s="20"/>
      <c r="I189" s="20"/>
      <c r="J189" s="20"/>
      <c r="K189" s="20"/>
      <c r="L189" s="20"/>
      <c r="M189" s="20"/>
    </row>
    <row r="190" spans="1:13">
      <c r="A190" s="86">
        <v>1730</v>
      </c>
      <c r="B190" s="20" t="s">
        <v>550</v>
      </c>
      <c r="C190" s="20" t="s">
        <v>546</v>
      </c>
      <c r="D190" s="20" t="s">
        <v>551</v>
      </c>
      <c r="F190" s="20"/>
      <c r="G190" s="20"/>
      <c r="H190" s="20"/>
      <c r="I190" s="20"/>
      <c r="J190" s="20"/>
      <c r="K190" s="20"/>
      <c r="L190" s="20"/>
      <c r="M190" s="20"/>
    </row>
    <row r="191" spans="1:13">
      <c r="A191" s="86">
        <v>1733</v>
      </c>
      <c r="B191" s="20" t="s">
        <v>552</v>
      </c>
      <c r="C191" s="20" t="s">
        <v>546</v>
      </c>
      <c r="D191" s="20" t="s">
        <v>553</v>
      </c>
      <c r="F191" s="20"/>
      <c r="G191" s="20"/>
      <c r="H191" s="20"/>
      <c r="I191" s="20"/>
      <c r="J191" s="20"/>
      <c r="K191" s="20"/>
      <c r="L191" s="20"/>
      <c r="M191" s="20"/>
    </row>
    <row r="192" spans="1:13">
      <c r="A192" s="86">
        <v>1735</v>
      </c>
      <c r="B192" s="20" t="s">
        <v>554</v>
      </c>
      <c r="C192" s="20" t="s">
        <v>546</v>
      </c>
      <c r="D192" s="20" t="s">
        <v>555</v>
      </c>
      <c r="F192" s="20"/>
      <c r="G192" s="20"/>
      <c r="H192" s="20"/>
      <c r="I192" s="20"/>
      <c r="J192" s="20"/>
      <c r="K192" s="20"/>
      <c r="L192" s="20"/>
      <c r="M192" s="20"/>
    </row>
  </sheetData>
  <sortState xmlns:xlrd2="http://schemas.microsoft.com/office/spreadsheetml/2017/richdata2" ref="A105:N116">
    <sortCondition ref="B105:B116"/>
  </sortState>
  <mergeCells count="27">
    <mergeCell ref="L5:M5"/>
    <mergeCell ref="A1:H1"/>
    <mergeCell ref="A2:H2"/>
    <mergeCell ref="A3:H3"/>
    <mergeCell ref="A4:H4"/>
    <mergeCell ref="B27:G27"/>
    <mergeCell ref="C14:D14"/>
    <mergeCell ref="J5:K5"/>
    <mergeCell ref="B30:G30"/>
    <mergeCell ref="B44:G44"/>
    <mergeCell ref="B29:G29"/>
    <mergeCell ref="B185:C185"/>
    <mergeCell ref="B179:C179"/>
    <mergeCell ref="B182:C182"/>
    <mergeCell ref="B184:C184"/>
    <mergeCell ref="B159:G159"/>
    <mergeCell ref="B147:G147"/>
    <mergeCell ref="B151:G151"/>
    <mergeCell ref="B141:G141"/>
    <mergeCell ref="B157:G157"/>
    <mergeCell ref="B175:C175"/>
    <mergeCell ref="B129:G129"/>
    <mergeCell ref="B118:G118"/>
    <mergeCell ref="B104:G104"/>
    <mergeCell ref="B117:G117"/>
    <mergeCell ref="B128:G128"/>
    <mergeCell ref="B123:G123"/>
  </mergeCells>
  <phoneticPr fontId="0" type="noConversion"/>
  <pageMargins left="0.25" right="0.25" top="0.25" bottom="0.25" header="0.3" footer="0.3"/>
  <pageSetup scale="56" fitToHeight="0" pageOrder="overThenDown" orientation="portrait" r:id="rId1"/>
  <headerFooter alignWithMargins="0"/>
  <ignoredErrors>
    <ignoredError sqref="K151 K44 K104 K141 K147 K123 K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6"/>
  <sheetViews>
    <sheetView topLeftCell="A36" workbookViewId="0">
      <selection activeCell="C63" sqref="C63"/>
    </sheetView>
  </sheetViews>
  <sheetFormatPr defaultRowHeight="12.75"/>
  <cols>
    <col min="1" max="1" width="16.5" style="2" customWidth="1"/>
    <col min="2" max="2" width="46.33203125" style="1" customWidth="1"/>
    <col min="3" max="3" width="40.83203125" style="1" customWidth="1"/>
    <col min="4" max="4" width="37" customWidth="1"/>
  </cols>
  <sheetData>
    <row r="1" spans="1:3" s="5" customFormat="1" ht="31.5">
      <c r="A1" s="3" t="s">
        <v>4</v>
      </c>
      <c r="B1" s="4" t="s">
        <v>5</v>
      </c>
      <c r="C1" s="4" t="s">
        <v>8</v>
      </c>
    </row>
    <row r="2" spans="1:3" s="8" customFormat="1" ht="15.75">
      <c r="A2" s="6" t="s">
        <v>342</v>
      </c>
      <c r="B2" s="7" t="s">
        <v>343</v>
      </c>
      <c r="C2" s="7" t="s">
        <v>343</v>
      </c>
    </row>
    <row r="3" spans="1:3" s="8" customFormat="1" ht="15.75">
      <c r="A3" s="6" t="s">
        <v>556</v>
      </c>
      <c r="B3" s="7" t="s">
        <v>557</v>
      </c>
      <c r="C3" s="7" t="s">
        <v>558</v>
      </c>
    </row>
    <row r="4" spans="1:3" s="8" customFormat="1" ht="15.75">
      <c r="A4" s="6" t="s">
        <v>172</v>
      </c>
      <c r="B4" s="7" t="s">
        <v>173</v>
      </c>
      <c r="C4" s="7" t="s">
        <v>173</v>
      </c>
    </row>
    <row r="5" spans="1:3" s="8" customFormat="1" ht="15.75">
      <c r="A5" s="6" t="s">
        <v>179</v>
      </c>
      <c r="B5" s="7" t="s">
        <v>180</v>
      </c>
      <c r="C5" s="7" t="s">
        <v>180</v>
      </c>
    </row>
    <row r="6" spans="1:3" s="8" customFormat="1" ht="15.75">
      <c r="A6" s="6" t="s">
        <v>176</v>
      </c>
      <c r="B6" s="7" t="s">
        <v>177</v>
      </c>
      <c r="C6" s="7" t="s">
        <v>177</v>
      </c>
    </row>
    <row r="7" spans="1:3" s="8" customFormat="1" ht="15.75">
      <c r="A7" s="6" t="s">
        <v>182</v>
      </c>
      <c r="B7" s="7" t="s">
        <v>183</v>
      </c>
      <c r="C7" s="7" t="s">
        <v>183</v>
      </c>
    </row>
    <row r="8" spans="1:3" s="8" customFormat="1" ht="15.75">
      <c r="A8" s="6" t="s">
        <v>348</v>
      </c>
      <c r="B8" s="7" t="s">
        <v>349</v>
      </c>
      <c r="C8" s="7" t="s">
        <v>349</v>
      </c>
    </row>
    <row r="9" spans="1:3" s="8" customFormat="1" ht="15.75">
      <c r="A9" s="6" t="s">
        <v>185</v>
      </c>
      <c r="B9" s="7" t="s">
        <v>186</v>
      </c>
      <c r="C9" s="7" t="s">
        <v>186</v>
      </c>
    </row>
    <row r="10" spans="1:3" s="8" customFormat="1" ht="15.75">
      <c r="A10" s="6" t="s">
        <v>187</v>
      </c>
      <c r="B10" s="7" t="s">
        <v>188</v>
      </c>
      <c r="C10" s="7" t="s">
        <v>188</v>
      </c>
    </row>
    <row r="11" spans="1:3" s="8" customFormat="1" ht="15.75">
      <c r="A11" s="6" t="s">
        <v>15</v>
      </c>
      <c r="B11" s="7" t="s">
        <v>16</v>
      </c>
      <c r="C11" s="7" t="s">
        <v>19</v>
      </c>
    </row>
    <row r="12" spans="1:3" s="8" customFormat="1" ht="15.75">
      <c r="A12" s="6" t="s">
        <v>189</v>
      </c>
      <c r="B12" s="7" t="s">
        <v>190</v>
      </c>
      <c r="C12" s="7" t="s">
        <v>191</v>
      </c>
    </row>
    <row r="13" spans="1:3" s="8" customFormat="1" ht="15.75">
      <c r="A13" s="6" t="s">
        <v>192</v>
      </c>
      <c r="B13" s="7" t="s">
        <v>193</v>
      </c>
      <c r="C13" s="7" t="s">
        <v>194</v>
      </c>
    </row>
    <row r="14" spans="1:3" s="8" customFormat="1" ht="15.75">
      <c r="A14" s="6" t="s">
        <v>81</v>
      </c>
      <c r="B14" s="7" t="s">
        <v>84</v>
      </c>
      <c r="C14" s="7" t="s">
        <v>84</v>
      </c>
    </row>
    <row r="15" spans="1:3" s="8" customFormat="1" ht="15.75">
      <c r="A15" s="6" t="s">
        <v>195</v>
      </c>
      <c r="B15" s="7" t="s">
        <v>196</v>
      </c>
      <c r="C15" s="7" t="s">
        <v>196</v>
      </c>
    </row>
    <row r="16" spans="1:3" s="8" customFormat="1" ht="15.75">
      <c r="A16" s="6" t="s">
        <v>198</v>
      </c>
      <c r="B16" s="7" t="s">
        <v>199</v>
      </c>
      <c r="C16" s="7" t="s">
        <v>199</v>
      </c>
    </row>
    <row r="17" spans="1:3" s="8" customFormat="1" ht="15.75">
      <c r="A17" s="6" t="s">
        <v>200</v>
      </c>
      <c r="B17" s="7" t="s">
        <v>201</v>
      </c>
      <c r="C17" s="7" t="s">
        <v>201</v>
      </c>
    </row>
    <row r="18" spans="1:3" s="8" customFormat="1" ht="15.75">
      <c r="A18" s="6" t="s">
        <v>203</v>
      </c>
      <c r="B18" s="7" t="s">
        <v>204</v>
      </c>
      <c r="C18" s="7" t="s">
        <v>204</v>
      </c>
    </row>
    <row r="19" spans="1:3" s="8" customFormat="1" ht="15.75">
      <c r="A19" s="6" t="s">
        <v>361</v>
      </c>
      <c r="B19" s="7" t="s">
        <v>362</v>
      </c>
      <c r="C19" s="7" t="s">
        <v>363</v>
      </c>
    </row>
    <row r="20" spans="1:3" s="8" customFormat="1" ht="15.75">
      <c r="A20" s="6" t="s">
        <v>376</v>
      </c>
      <c r="B20" s="7" t="s">
        <v>377</v>
      </c>
      <c r="C20" s="7" t="s">
        <v>380</v>
      </c>
    </row>
    <row r="21" spans="1:3" s="8" customFormat="1" ht="15.75">
      <c r="A21" s="6" t="s">
        <v>381</v>
      </c>
      <c r="B21" s="7" t="s">
        <v>382</v>
      </c>
      <c r="C21" s="7" t="s">
        <v>383</v>
      </c>
    </row>
    <row r="22" spans="1:3" s="8" customFormat="1" ht="15.75">
      <c r="A22" s="6" t="s">
        <v>490</v>
      </c>
      <c r="B22" s="7" t="s">
        <v>491</v>
      </c>
      <c r="C22" s="7" t="s">
        <v>493</v>
      </c>
    </row>
    <row r="23" spans="1:3" s="8" customFormat="1" ht="15.75">
      <c r="A23" s="6" t="s">
        <v>123</v>
      </c>
      <c r="B23" s="7" t="s">
        <v>124</v>
      </c>
      <c r="C23" s="7" t="s">
        <v>124</v>
      </c>
    </row>
    <row r="24" spans="1:3" s="8" customFormat="1" ht="15.75">
      <c r="A24" s="6" t="s">
        <v>206</v>
      </c>
      <c r="B24" s="7" t="s">
        <v>207</v>
      </c>
      <c r="C24" s="7" t="s">
        <v>207</v>
      </c>
    </row>
    <row r="25" spans="1:3" s="8" customFormat="1" ht="15.75">
      <c r="A25" s="6" t="s">
        <v>209</v>
      </c>
      <c r="B25" s="7" t="s">
        <v>210</v>
      </c>
      <c r="C25" s="7" t="s">
        <v>210</v>
      </c>
    </row>
    <row r="26" spans="1:3" s="8" customFormat="1" ht="15.75">
      <c r="A26" s="6" t="s">
        <v>22</v>
      </c>
      <c r="B26" s="7" t="s">
        <v>23</v>
      </c>
      <c r="C26" s="7" t="s">
        <v>23</v>
      </c>
    </row>
    <row r="27" spans="1:3" s="8" customFormat="1" ht="15.75">
      <c r="A27" s="6" t="s">
        <v>211</v>
      </c>
      <c r="B27" s="7" t="s">
        <v>212</v>
      </c>
      <c r="C27" s="7" t="s">
        <v>212</v>
      </c>
    </row>
    <row r="28" spans="1:3" s="8" customFormat="1" ht="15.75">
      <c r="A28" s="6" t="s">
        <v>401</v>
      </c>
      <c r="B28" s="7" t="s">
        <v>402</v>
      </c>
      <c r="C28" s="7" t="s">
        <v>403</v>
      </c>
    </row>
    <row r="29" spans="1:3" s="8" customFormat="1" ht="15.75">
      <c r="A29" s="6" t="s">
        <v>128</v>
      </c>
      <c r="B29" s="7" t="s">
        <v>129</v>
      </c>
      <c r="C29" s="7" t="s">
        <v>129</v>
      </c>
    </row>
    <row r="30" spans="1:3" s="8" customFormat="1" ht="15.75">
      <c r="A30" s="6" t="s">
        <v>494</v>
      </c>
      <c r="B30" s="7" t="s">
        <v>559</v>
      </c>
      <c r="C30" s="7" t="s">
        <v>129</v>
      </c>
    </row>
    <row r="31" spans="1:3" s="8" customFormat="1" ht="15.75">
      <c r="A31" s="6" t="s">
        <v>131</v>
      </c>
      <c r="B31" s="7" t="s">
        <v>132</v>
      </c>
      <c r="C31" s="7" t="s">
        <v>132</v>
      </c>
    </row>
    <row r="32" spans="1:3" s="8" customFormat="1" ht="15.75">
      <c r="A32" s="6" t="s">
        <v>214</v>
      </c>
      <c r="B32" s="7" t="s">
        <v>215</v>
      </c>
      <c r="C32" s="7" t="s">
        <v>215</v>
      </c>
    </row>
    <row r="33" spans="1:3" s="8" customFormat="1" ht="15.75">
      <c r="A33" s="6" t="s">
        <v>217</v>
      </c>
      <c r="B33" s="7" t="s">
        <v>218</v>
      </c>
      <c r="C33" s="7" t="s">
        <v>218</v>
      </c>
    </row>
    <row r="34" spans="1:3" s="8" customFormat="1" ht="15.75">
      <c r="A34" s="6" t="s">
        <v>220</v>
      </c>
      <c r="B34" s="7" t="s">
        <v>221</v>
      </c>
      <c r="C34" s="7" t="s">
        <v>221</v>
      </c>
    </row>
    <row r="35" spans="1:3" s="8" customFormat="1" ht="15.75">
      <c r="A35" s="6" t="s">
        <v>222</v>
      </c>
      <c r="B35" s="7" t="s">
        <v>223</v>
      </c>
      <c r="C35" s="7" t="s">
        <v>223</v>
      </c>
    </row>
    <row r="36" spans="1:3" s="8" customFormat="1" ht="15.75">
      <c r="A36" s="6" t="s">
        <v>224</v>
      </c>
      <c r="B36" s="7" t="s">
        <v>225</v>
      </c>
      <c r="C36" s="7" t="s">
        <v>225</v>
      </c>
    </row>
    <row r="37" spans="1:3" s="8" customFormat="1" ht="15.75">
      <c r="A37" s="6" t="s">
        <v>227</v>
      </c>
      <c r="B37" s="7" t="s">
        <v>228</v>
      </c>
      <c r="C37" s="7" t="s">
        <v>228</v>
      </c>
    </row>
    <row r="38" spans="1:3" s="8" customFormat="1" ht="15.75">
      <c r="A38" s="6" t="s">
        <v>227</v>
      </c>
      <c r="B38" s="7" t="s">
        <v>230</v>
      </c>
      <c r="C38" s="7" t="s">
        <v>230</v>
      </c>
    </row>
    <row r="39" spans="1:3" s="8" customFormat="1" ht="15.75">
      <c r="A39" s="6" t="s">
        <v>232</v>
      </c>
      <c r="B39" s="7" t="s">
        <v>233</v>
      </c>
      <c r="C39" s="7" t="s">
        <v>233</v>
      </c>
    </row>
    <row r="40" spans="1:3" s="8" customFormat="1" ht="15.75">
      <c r="A40" s="6" t="s">
        <v>235</v>
      </c>
      <c r="B40" s="7" t="s">
        <v>236</v>
      </c>
      <c r="C40" s="7" t="s">
        <v>236</v>
      </c>
    </row>
    <row r="41" spans="1:3" s="8" customFormat="1" ht="15.75">
      <c r="A41" s="6" t="s">
        <v>237</v>
      </c>
      <c r="B41" s="7" t="s">
        <v>238</v>
      </c>
      <c r="C41" s="7" t="s">
        <v>238</v>
      </c>
    </row>
    <row r="42" spans="1:3" s="8" customFormat="1" ht="15.75">
      <c r="A42" s="6" t="s">
        <v>240</v>
      </c>
      <c r="B42" s="7" t="s">
        <v>241</v>
      </c>
      <c r="C42" s="7" t="s">
        <v>241</v>
      </c>
    </row>
    <row r="43" spans="1:3" s="8" customFormat="1" ht="15.75">
      <c r="A43" s="6" t="s">
        <v>243</v>
      </c>
      <c r="B43" s="7" t="s">
        <v>244</v>
      </c>
      <c r="C43" s="7" t="s">
        <v>244</v>
      </c>
    </row>
    <row r="44" spans="1:3" s="8" customFormat="1" ht="15.75">
      <c r="A44" s="6" t="s">
        <v>134</v>
      </c>
      <c r="B44" s="7" t="s">
        <v>135</v>
      </c>
      <c r="C44" s="7" t="s">
        <v>135</v>
      </c>
    </row>
    <row r="45" spans="1:3" s="8" customFormat="1" ht="15.75">
      <c r="A45" s="6" t="s">
        <v>138</v>
      </c>
      <c r="B45" s="7" t="s">
        <v>139</v>
      </c>
      <c r="C45" s="7" t="s">
        <v>139</v>
      </c>
    </row>
    <row r="46" spans="1:3" s="8" customFormat="1" ht="15.75">
      <c r="A46" s="6" t="s">
        <v>25</v>
      </c>
      <c r="B46" s="7" t="s">
        <v>26</v>
      </c>
      <c r="C46" s="7" t="s">
        <v>28</v>
      </c>
    </row>
    <row r="47" spans="1:3" s="8" customFormat="1" ht="15.75">
      <c r="A47" s="6" t="s">
        <v>408</v>
      </c>
      <c r="B47" s="7" t="s">
        <v>409</v>
      </c>
      <c r="C47" s="7" t="s">
        <v>409</v>
      </c>
    </row>
    <row r="48" spans="1:3" s="8" customFormat="1" ht="15.75">
      <c r="A48" s="6" t="s">
        <v>245</v>
      </c>
      <c r="B48" s="7" t="s">
        <v>246</v>
      </c>
      <c r="C48" s="7" t="s">
        <v>247</v>
      </c>
    </row>
    <row r="49" spans="1:3" s="8" customFormat="1" ht="15.75">
      <c r="A49" s="6" t="s">
        <v>411</v>
      </c>
      <c r="B49" s="7" t="s">
        <v>412</v>
      </c>
      <c r="C49" s="7" t="s">
        <v>415</v>
      </c>
    </row>
    <row r="50" spans="1:3" s="8" customFormat="1" ht="15.75">
      <c r="A50" s="6" t="s">
        <v>29</v>
      </c>
      <c r="B50" s="7" t="s">
        <v>30</v>
      </c>
      <c r="C50" s="7" t="s">
        <v>32</v>
      </c>
    </row>
    <row r="51" spans="1:3" s="8" customFormat="1" ht="15.75">
      <c r="A51" s="6" t="s">
        <v>411</v>
      </c>
      <c r="B51" s="7" t="s">
        <v>416</v>
      </c>
      <c r="C51" s="7" t="s">
        <v>418</v>
      </c>
    </row>
    <row r="52" spans="1:3" s="8" customFormat="1" ht="15.75">
      <c r="A52" s="6" t="s">
        <v>420</v>
      </c>
      <c r="B52" s="7" t="s">
        <v>421</v>
      </c>
      <c r="C52" s="7" t="s">
        <v>423</v>
      </c>
    </row>
    <row r="53" spans="1:3" s="8" customFormat="1" ht="15.75">
      <c r="A53" s="6" t="s">
        <v>34</v>
      </c>
      <c r="B53" s="7" t="s">
        <v>35</v>
      </c>
      <c r="C53" s="7" t="s">
        <v>37</v>
      </c>
    </row>
    <row r="54" spans="1:3" s="8" customFormat="1" ht="15.75">
      <c r="A54" s="6" t="s">
        <v>457</v>
      </c>
      <c r="B54" s="7" t="s">
        <v>458</v>
      </c>
      <c r="C54" s="7" t="s">
        <v>460</v>
      </c>
    </row>
    <row r="55" spans="1:3" s="8" customFormat="1" ht="15.75">
      <c r="A55" s="6" t="s">
        <v>461</v>
      </c>
      <c r="B55" s="7" t="s">
        <v>462</v>
      </c>
      <c r="C55" s="7" t="s">
        <v>460</v>
      </c>
    </row>
    <row r="56" spans="1:3" s="8" customFormat="1" ht="15.75">
      <c r="A56" s="6" t="s">
        <v>384</v>
      </c>
      <c r="B56" s="7" t="s">
        <v>385</v>
      </c>
      <c r="C56" s="7" t="s">
        <v>387</v>
      </c>
    </row>
    <row r="57" spans="1:3" s="8" customFormat="1" ht="15.75">
      <c r="A57" s="6" t="s">
        <v>496</v>
      </c>
      <c r="B57" s="7" t="s">
        <v>497</v>
      </c>
      <c r="C57" s="7" t="s">
        <v>499</v>
      </c>
    </row>
    <row r="58" spans="1:3" s="8" customFormat="1" ht="15.75">
      <c r="A58" s="6" t="s">
        <v>38</v>
      </c>
      <c r="B58" s="7" t="s">
        <v>39</v>
      </c>
      <c r="C58" s="7" t="s">
        <v>41</v>
      </c>
    </row>
    <row r="59" spans="1:3" s="8" customFormat="1" ht="15.75">
      <c r="A59" s="6" t="s">
        <v>115</v>
      </c>
      <c r="B59" s="7" t="s">
        <v>116</v>
      </c>
      <c r="C59" s="7" t="s">
        <v>119</v>
      </c>
    </row>
    <row r="60" spans="1:3" s="8" customFormat="1" ht="15.75">
      <c r="A60" s="6" t="s">
        <v>262</v>
      </c>
      <c r="B60" s="7" t="s">
        <v>263</v>
      </c>
      <c r="C60" s="7" t="s">
        <v>264</v>
      </c>
    </row>
    <row r="61" spans="1:3" s="8" customFormat="1" ht="15.75">
      <c r="A61" s="6" t="s">
        <v>364</v>
      </c>
      <c r="B61" s="7" t="s">
        <v>365</v>
      </c>
      <c r="C61" s="7" t="s">
        <v>366</v>
      </c>
    </row>
    <row r="62" spans="1:3" s="8" customFormat="1" ht="15.75">
      <c r="A62" s="6" t="s">
        <v>43</v>
      </c>
      <c r="B62" s="7" t="s">
        <v>44</v>
      </c>
      <c r="C62" s="7" t="s">
        <v>46</v>
      </c>
    </row>
    <row r="63" spans="1:3" s="8" customFormat="1" ht="15.75">
      <c r="A63" s="6" t="s">
        <v>48</v>
      </c>
      <c r="B63" s="7" t="s">
        <v>49</v>
      </c>
      <c r="C63" s="7" t="s">
        <v>51</v>
      </c>
    </row>
    <row r="64" spans="1:3" s="8" customFormat="1" ht="15.75">
      <c r="A64" s="6" t="s">
        <v>52</v>
      </c>
      <c r="B64" s="7" t="s">
        <v>53</v>
      </c>
      <c r="C64" s="7" t="s">
        <v>55</v>
      </c>
    </row>
    <row r="65" spans="1:3" s="8" customFormat="1" ht="15.75">
      <c r="A65" s="6" t="s">
        <v>425</v>
      </c>
      <c r="B65" s="7" t="s">
        <v>426</v>
      </c>
      <c r="C65" s="7" t="s">
        <v>428</v>
      </c>
    </row>
    <row r="66" spans="1:3" s="8" customFormat="1" ht="15.75">
      <c r="A66" s="6" t="s">
        <v>57</v>
      </c>
      <c r="B66" s="7" t="s">
        <v>58</v>
      </c>
      <c r="C66" s="7" t="s">
        <v>60</v>
      </c>
    </row>
    <row r="67" spans="1:3" s="8" customFormat="1" ht="15.75">
      <c r="A67" s="6" t="s">
        <v>275</v>
      </c>
      <c r="B67" s="7" t="s">
        <v>276</v>
      </c>
      <c r="C67" s="7" t="s">
        <v>277</v>
      </c>
    </row>
    <row r="68" spans="1:3" s="8" customFormat="1" ht="15.75">
      <c r="A68" s="6" t="s">
        <v>463</v>
      </c>
      <c r="B68" s="7" t="s">
        <v>464</v>
      </c>
      <c r="C68" s="7" t="s">
        <v>460</v>
      </c>
    </row>
    <row r="69" spans="1:3" s="8" customFormat="1" ht="15.75">
      <c r="A69" s="6" t="s">
        <v>62</v>
      </c>
      <c r="B69" s="7" t="s">
        <v>63</v>
      </c>
      <c r="C69" s="7" t="s">
        <v>65</v>
      </c>
    </row>
    <row r="70" spans="1:3" s="8" customFormat="1" ht="15.75">
      <c r="A70" s="6" t="s">
        <v>368</v>
      </c>
      <c r="B70" s="7" t="s">
        <v>369</v>
      </c>
      <c r="C70" s="7" t="s">
        <v>370</v>
      </c>
    </row>
    <row r="71" spans="1:3" s="8" customFormat="1" ht="15.75">
      <c r="A71" s="6" t="s">
        <v>278</v>
      </c>
      <c r="B71" s="7" t="s">
        <v>279</v>
      </c>
      <c r="C71" s="7" t="s">
        <v>280</v>
      </c>
    </row>
    <row r="72" spans="1:3" s="8" customFormat="1" ht="15.75">
      <c r="A72" s="6" t="s">
        <v>67</v>
      </c>
      <c r="B72" s="7" t="s">
        <v>68</v>
      </c>
      <c r="C72" s="7" t="s">
        <v>70</v>
      </c>
    </row>
    <row r="73" spans="1:3" s="8" customFormat="1" ht="15.75">
      <c r="A73" s="6" t="s">
        <v>72</v>
      </c>
      <c r="B73" s="7" t="s">
        <v>73</v>
      </c>
      <c r="C73" s="7"/>
    </row>
    <row r="74" spans="1:3" s="8" customFormat="1" ht="15.75">
      <c r="A74" s="6" t="s">
        <v>476</v>
      </c>
      <c r="B74" s="7" t="s">
        <v>477</v>
      </c>
      <c r="C74" s="7" t="s">
        <v>480</v>
      </c>
    </row>
    <row r="75" spans="1:3" s="8" customFormat="1" ht="15.75">
      <c r="A75" s="6" t="s">
        <v>281</v>
      </c>
      <c r="B75" s="7" t="s">
        <v>282</v>
      </c>
      <c r="C75" s="7" t="s">
        <v>283</v>
      </c>
    </row>
    <row r="76" spans="1:3" s="8" customFormat="1" ht="15.75">
      <c r="A76" s="6" t="s">
        <v>446</v>
      </c>
      <c r="B76" s="7" t="s">
        <v>447</v>
      </c>
      <c r="C76" s="7" t="s">
        <v>449</v>
      </c>
    </row>
    <row r="77" spans="1:3" s="8" customFormat="1" ht="15.75">
      <c r="A77" s="6" t="s">
        <v>430</v>
      </c>
      <c r="B77" s="7" t="s">
        <v>431</v>
      </c>
      <c r="C77" s="7" t="s">
        <v>433</v>
      </c>
    </row>
    <row r="78" spans="1:3" s="8" customFormat="1" ht="15.75">
      <c r="A78" s="6" t="s">
        <v>481</v>
      </c>
      <c r="B78" s="7" t="s">
        <v>482</v>
      </c>
      <c r="C78" s="7" t="s">
        <v>483</v>
      </c>
    </row>
    <row r="79" spans="1:3" s="8" customFormat="1" ht="15.75">
      <c r="A79" s="6" t="s">
        <v>76</v>
      </c>
      <c r="B79" s="7" t="s">
        <v>77</v>
      </c>
      <c r="C79" s="7" t="s">
        <v>79</v>
      </c>
    </row>
    <row r="80" spans="1:3" s="8" customFormat="1" ht="15.75">
      <c r="A80" s="6" t="s">
        <v>389</v>
      </c>
      <c r="B80" s="7" t="s">
        <v>390</v>
      </c>
      <c r="C80" s="7" t="s">
        <v>392</v>
      </c>
    </row>
    <row r="81" spans="1:3" s="8" customFormat="1" ht="15.75">
      <c r="A81" s="6" t="s">
        <v>284</v>
      </c>
      <c r="B81" s="7" t="s">
        <v>285</v>
      </c>
      <c r="C81" s="7" t="s">
        <v>286</v>
      </c>
    </row>
    <row r="82" spans="1:3" s="8" customFormat="1" ht="15.75">
      <c r="A82" s="6" t="s">
        <v>434</v>
      </c>
      <c r="B82" s="7" t="s">
        <v>435</v>
      </c>
      <c r="C82" s="7" t="s">
        <v>437</v>
      </c>
    </row>
    <row r="83" spans="1:3" s="8" customFormat="1" ht="15.75">
      <c r="A83" s="6" t="s">
        <v>466</v>
      </c>
      <c r="B83" s="7" t="s">
        <v>467</v>
      </c>
      <c r="C83" s="7" t="s">
        <v>469</v>
      </c>
    </row>
    <row r="84" spans="1:3" s="8" customFormat="1" ht="15.75">
      <c r="A84" s="6" t="s">
        <v>438</v>
      </c>
      <c r="B84" s="7" t="s">
        <v>439</v>
      </c>
      <c r="C84" s="7" t="s">
        <v>441</v>
      </c>
    </row>
    <row r="85" spans="1:3" s="8" customFormat="1" ht="15.75">
      <c r="A85" s="6" t="s">
        <v>290</v>
      </c>
      <c r="B85" s="7" t="s">
        <v>291</v>
      </c>
      <c r="C85" s="7" t="s">
        <v>292</v>
      </c>
    </row>
    <row r="86" spans="1:3" s="8" customFormat="1" ht="15.75">
      <c r="A86" s="6" t="s">
        <v>293</v>
      </c>
      <c r="B86" s="7" t="s">
        <v>294</v>
      </c>
      <c r="C86" s="7" t="s">
        <v>295</v>
      </c>
    </row>
    <row r="87" spans="1:3" s="8" customFormat="1" ht="15.75">
      <c r="A87" s="6" t="s">
        <v>296</v>
      </c>
      <c r="B87" s="7" t="s">
        <v>297</v>
      </c>
      <c r="C87" s="7" t="s">
        <v>298</v>
      </c>
    </row>
    <row r="88" spans="1:3" s="8" customFormat="1" ht="15.75">
      <c r="A88" s="6" t="s">
        <v>86</v>
      </c>
      <c r="B88" s="7" t="s">
        <v>87</v>
      </c>
      <c r="C88" s="7" t="s">
        <v>89</v>
      </c>
    </row>
    <row r="89" spans="1:3" s="8" customFormat="1" ht="15.75">
      <c r="A89" s="6" t="s">
        <v>299</v>
      </c>
      <c r="B89" s="7" t="s">
        <v>300</v>
      </c>
      <c r="C89" s="7" t="s">
        <v>301</v>
      </c>
    </row>
    <row r="90" spans="1:3" s="8" customFormat="1" ht="15.75">
      <c r="A90" s="6" t="s">
        <v>146</v>
      </c>
      <c r="B90" s="7" t="s">
        <v>147</v>
      </c>
      <c r="C90" s="7" t="s">
        <v>149</v>
      </c>
    </row>
    <row r="91" spans="1:3" s="8" customFormat="1" ht="15.75">
      <c r="A91" s="6" t="s">
        <v>442</v>
      </c>
      <c r="B91" s="7" t="s">
        <v>443</v>
      </c>
      <c r="C91" s="7" t="s">
        <v>445</v>
      </c>
    </row>
    <row r="92" spans="1:3" s="8" customFormat="1" ht="15.75">
      <c r="A92" s="6" t="s">
        <v>265</v>
      </c>
      <c r="B92" s="7" t="s">
        <v>560</v>
      </c>
      <c r="C92" s="7" t="s">
        <v>267</v>
      </c>
    </row>
    <row r="93" spans="1:3" s="8" customFormat="1" ht="15.75">
      <c r="A93" s="6" t="s">
        <v>258</v>
      </c>
      <c r="B93" s="7" t="s">
        <v>561</v>
      </c>
      <c r="C93" s="7" t="s">
        <v>260</v>
      </c>
    </row>
    <row r="94" spans="1:3" s="8" customFormat="1" ht="15.75">
      <c r="A94" s="6" t="s">
        <v>268</v>
      </c>
      <c r="B94" s="7" t="s">
        <v>562</v>
      </c>
      <c r="C94" s="7" t="s">
        <v>270</v>
      </c>
    </row>
    <row r="95" spans="1:3" s="8" customFormat="1" ht="15.75">
      <c r="A95" s="6" t="s">
        <v>254</v>
      </c>
      <c r="B95" s="7" t="s">
        <v>563</v>
      </c>
      <c r="C95" s="7" t="s">
        <v>256</v>
      </c>
    </row>
    <row r="96" spans="1:3" s="8" customFormat="1" ht="15.75">
      <c r="A96" s="6" t="s">
        <v>287</v>
      </c>
      <c r="B96" s="7" t="s">
        <v>564</v>
      </c>
      <c r="C96" s="7" t="s">
        <v>289</v>
      </c>
    </row>
    <row r="97" spans="1:3" s="8" customFormat="1" ht="15.75">
      <c r="A97" s="6" t="s">
        <v>251</v>
      </c>
      <c r="B97" s="7" t="s">
        <v>565</v>
      </c>
      <c r="C97" s="7" t="s">
        <v>253</v>
      </c>
    </row>
    <row r="98" spans="1:3" s="8" customFormat="1" ht="15.75">
      <c r="A98" s="6" t="s">
        <v>248</v>
      </c>
      <c r="B98" s="7" t="s">
        <v>566</v>
      </c>
      <c r="C98" s="7" t="s">
        <v>250</v>
      </c>
    </row>
    <row r="99" spans="1:3" s="8" customFormat="1" ht="15.75">
      <c r="A99" s="6" t="s">
        <v>271</v>
      </c>
      <c r="B99" s="7" t="s">
        <v>567</v>
      </c>
      <c r="C99" s="7" t="s">
        <v>273</v>
      </c>
    </row>
    <row r="100" spans="1:3" s="8" customFormat="1" ht="15.75">
      <c r="A100" s="6" t="s">
        <v>451</v>
      </c>
      <c r="B100" s="7" t="s">
        <v>452</v>
      </c>
      <c r="C100" s="7" t="s">
        <v>454</v>
      </c>
    </row>
    <row r="101" spans="1:3" s="8" customFormat="1" ht="15.75">
      <c r="A101" s="6" t="s">
        <v>150</v>
      </c>
      <c r="B101" s="7" t="s">
        <v>151</v>
      </c>
      <c r="C101" s="7" t="s">
        <v>153</v>
      </c>
    </row>
    <row r="102" spans="1:3" s="8" customFormat="1" ht="15.75">
      <c r="A102" s="6" t="s">
        <v>91</v>
      </c>
      <c r="B102" s="7" t="s">
        <v>92</v>
      </c>
      <c r="C102" s="7" t="s">
        <v>94</v>
      </c>
    </row>
    <row r="103" spans="1:3" s="8" customFormat="1" ht="15.75">
      <c r="A103" s="6" t="s">
        <v>521</v>
      </c>
      <c r="B103" s="7" t="s">
        <v>372</v>
      </c>
      <c r="C103" s="7" t="s">
        <v>373</v>
      </c>
    </row>
    <row r="104" spans="1:3" s="8" customFormat="1" ht="15.75">
      <c r="A104" s="6" t="s">
        <v>303</v>
      </c>
      <c r="B104" s="7" t="s">
        <v>304</v>
      </c>
      <c r="C104" s="7" t="s">
        <v>305</v>
      </c>
    </row>
    <row r="105" spans="1:3" s="8" customFormat="1" ht="15.75">
      <c r="A105" s="6" t="s">
        <v>521</v>
      </c>
      <c r="B105" s="7" t="s">
        <v>568</v>
      </c>
      <c r="C105" s="7" t="s">
        <v>569</v>
      </c>
    </row>
    <row r="106" spans="1:3" s="8" customFormat="1" ht="15.75">
      <c r="A106" s="6" t="s">
        <v>307</v>
      </c>
      <c r="B106" s="7" t="s">
        <v>308</v>
      </c>
      <c r="C106" s="7" t="s">
        <v>309</v>
      </c>
    </row>
    <row r="107" spans="1:3" s="8" customFormat="1" ht="15.75">
      <c r="A107" s="6" t="s">
        <v>154</v>
      </c>
      <c r="B107" s="7" t="s">
        <v>155</v>
      </c>
      <c r="C107" s="7" t="s">
        <v>157</v>
      </c>
    </row>
    <row r="108" spans="1:3" s="8" customFormat="1" ht="15.75">
      <c r="A108" s="6" t="s">
        <v>158</v>
      </c>
      <c r="B108" s="7" t="s">
        <v>159</v>
      </c>
      <c r="C108" s="7" t="s">
        <v>161</v>
      </c>
    </row>
    <row r="109" spans="1:3" s="8" customFormat="1" ht="15.75">
      <c r="A109" s="6" t="s">
        <v>162</v>
      </c>
      <c r="B109" s="7" t="s">
        <v>163</v>
      </c>
      <c r="C109" s="7" t="s">
        <v>165</v>
      </c>
    </row>
    <row r="110" spans="1:3" s="8" customFormat="1" ht="15.75">
      <c r="A110" s="6" t="s">
        <v>95</v>
      </c>
      <c r="B110" s="7" t="s">
        <v>96</v>
      </c>
      <c r="C110" s="7" t="s">
        <v>98</v>
      </c>
    </row>
    <row r="111" spans="1:3" s="8" customFormat="1" ht="15.75">
      <c r="A111" s="6" t="s">
        <v>310</v>
      </c>
      <c r="B111" s="7" t="s">
        <v>311</v>
      </c>
      <c r="C111" s="7" t="s">
        <v>312</v>
      </c>
    </row>
    <row r="112" spans="1:3" s="8" customFormat="1" ht="15.75">
      <c r="A112" s="6" t="s">
        <v>313</v>
      </c>
      <c r="B112" s="7" t="s">
        <v>314</v>
      </c>
      <c r="C112" s="7" t="s">
        <v>315</v>
      </c>
    </row>
    <row r="113" spans="1:3" s="8" customFormat="1" ht="15.75">
      <c r="A113" s="6" t="s">
        <v>316</v>
      </c>
      <c r="B113" s="7" t="s">
        <v>317</v>
      </c>
      <c r="C113" s="7" t="s">
        <v>318</v>
      </c>
    </row>
    <row r="114" spans="1:3" s="8" customFormat="1" ht="15.75">
      <c r="A114" s="6" t="s">
        <v>100</v>
      </c>
      <c r="B114" s="7" t="s">
        <v>101</v>
      </c>
      <c r="C114" s="7" t="s">
        <v>103</v>
      </c>
    </row>
    <row r="115" spans="1:3" s="8" customFormat="1" ht="15.75">
      <c r="A115" s="6" t="s">
        <v>320</v>
      </c>
      <c r="B115" s="7" t="s">
        <v>321</v>
      </c>
      <c r="C115" s="7" t="s">
        <v>322</v>
      </c>
    </row>
    <row r="116" spans="1:3" s="8" customFormat="1" ht="15.75">
      <c r="A116" s="6" t="s">
        <v>323</v>
      </c>
      <c r="B116" s="7" t="s">
        <v>324</v>
      </c>
      <c r="C116" s="7" t="s">
        <v>325</v>
      </c>
    </row>
    <row r="117" spans="1:3" s="8" customFormat="1" ht="15.75">
      <c r="A117" s="6" t="s">
        <v>326</v>
      </c>
      <c r="B117" s="7" t="s">
        <v>324</v>
      </c>
      <c r="C117" s="7" t="s">
        <v>327</v>
      </c>
    </row>
    <row r="118" spans="1:3" s="8" customFormat="1" ht="15.75">
      <c r="A118" s="6" t="s">
        <v>328</v>
      </c>
      <c r="B118" s="7" t="s">
        <v>324</v>
      </c>
      <c r="C118" s="7" t="s">
        <v>329</v>
      </c>
    </row>
    <row r="119" spans="1:3" s="8" customFormat="1" ht="15.75">
      <c r="A119" s="6" t="s">
        <v>330</v>
      </c>
      <c r="B119" s="7" t="s">
        <v>324</v>
      </c>
      <c r="C119" s="7" t="s">
        <v>331</v>
      </c>
    </row>
    <row r="120" spans="1:3" s="8" customFormat="1" ht="15.75">
      <c r="A120" s="6" t="s">
        <v>332</v>
      </c>
      <c r="B120" s="7" t="s">
        <v>333</v>
      </c>
      <c r="C120" s="7" t="s">
        <v>334</v>
      </c>
    </row>
    <row r="121" spans="1:3" s="8" customFormat="1" ht="15.75">
      <c r="A121" s="6" t="s">
        <v>336</v>
      </c>
      <c r="B121" s="7" t="s">
        <v>337</v>
      </c>
      <c r="C121" s="7" t="s">
        <v>338</v>
      </c>
    </row>
    <row r="122" spans="1:3" s="8" customFormat="1" ht="15.75">
      <c r="A122" s="6" t="s">
        <v>166</v>
      </c>
      <c r="B122" s="7" t="s">
        <v>167</v>
      </c>
      <c r="C122" s="7" t="s">
        <v>169</v>
      </c>
    </row>
    <row r="123" spans="1:3" s="8" customFormat="1" ht="15.75">
      <c r="A123" s="6" t="s">
        <v>104</v>
      </c>
      <c r="B123" s="7" t="s">
        <v>105</v>
      </c>
      <c r="C123" s="7" t="s">
        <v>107</v>
      </c>
    </row>
    <row r="124" spans="1:3" s="8" customFormat="1" ht="15.75">
      <c r="A124" s="6" t="s">
        <v>109</v>
      </c>
      <c r="B124" s="7" t="s">
        <v>110</v>
      </c>
      <c r="C124" s="7" t="s">
        <v>112</v>
      </c>
    </row>
    <row r="125" spans="1:3" s="8" customFormat="1" ht="15.75">
      <c r="A125" s="6" t="s">
        <v>470</v>
      </c>
      <c r="B125" s="7" t="s">
        <v>471</v>
      </c>
      <c r="C125" s="7" t="s">
        <v>473</v>
      </c>
    </row>
    <row r="126" spans="1:3" s="8" customFormat="1" ht="15.75">
      <c r="A126" s="6" t="s">
        <v>339</v>
      </c>
      <c r="B126" s="7" t="s">
        <v>340</v>
      </c>
      <c r="C126" s="7" t="s">
        <v>247</v>
      </c>
    </row>
  </sheetData>
  <sortState xmlns:xlrd2="http://schemas.microsoft.com/office/spreadsheetml/2017/richdata2" ref="A2:N126">
    <sortCondition ref="B2:B126"/>
  </sortState>
  <pageMargins left="0.45" right="0.45" top="0.5" bottom="0.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D71489A8AF4479A2B05A5EC965E82" ma:contentTypeVersion="14" ma:contentTypeDescription="Create a new document." ma:contentTypeScope="" ma:versionID="87d79fac5df23af661785f8dc0b278bc">
  <xsd:schema xmlns:xsd="http://www.w3.org/2001/XMLSchema" xmlns:xs="http://www.w3.org/2001/XMLSchema" xmlns:p="http://schemas.microsoft.com/office/2006/metadata/properties" xmlns:ns2="f0fa5220-f99d-4f39-b16d-50d6435e0903" xmlns:ns3="df596365-32ef-411d-81f9-92a132a867e5" targetNamespace="http://schemas.microsoft.com/office/2006/metadata/properties" ma:root="true" ma:fieldsID="5f83acca778a4338689591bea970e8ba" ns2:_="" ns3:_="">
    <xsd:import namespace="f0fa5220-f99d-4f39-b16d-50d6435e0903"/>
    <xsd:import namespace="df596365-32ef-411d-81f9-92a132a867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a5220-f99d-4f39-b16d-50d6435e09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e2380fd-3ffa-4480-ade9-41b756eac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96365-32ef-411d-81f9-92a132a867e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23c4ff-d141-4fb6-ba5c-052ffb390347}" ma:internalName="TaxCatchAll" ma:showField="CatchAllData" ma:web="df596365-32ef-411d-81f9-92a132a867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596365-32ef-411d-81f9-92a132a867e5" xsi:nil="true"/>
    <lcf76f155ced4ddcb4097134ff3c332f xmlns="f0fa5220-f99d-4f39-b16d-50d6435e090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B39FA0-9BEA-4CE4-A09F-D8B542CB185D}"/>
</file>

<file path=customXml/itemProps2.xml><?xml version="1.0" encoding="utf-8"?>
<ds:datastoreItem xmlns:ds="http://schemas.openxmlformats.org/officeDocument/2006/customXml" ds:itemID="{695E50BD-9FE5-4464-8061-92BB68A2A92C}"/>
</file>

<file path=customXml/itemProps3.xml><?xml version="1.0" encoding="utf-8"?>
<ds:datastoreItem xmlns:ds="http://schemas.openxmlformats.org/officeDocument/2006/customXml" ds:itemID="{DE1E4AD2-59AF-491D-A28D-A07F2D784C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Dickinson College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Kristen C. Williams</dc:creator>
  <cp:keywords/>
  <dc:description/>
  <cp:lastModifiedBy>Bobb, Steve</cp:lastModifiedBy>
  <cp:revision/>
  <dcterms:created xsi:type="dcterms:W3CDTF">2007-03-30T13:34:46Z</dcterms:created>
  <dcterms:modified xsi:type="dcterms:W3CDTF">2025-03-28T10:55:26Z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0x0101005B2D71489A8AF4479A2B05A5EC965E82</vt:lpwstr>
  </property>
  <property fmtid="{D5CDD505-2E9C-101B-9397-08002B2CF9AE}" pid="3" name="Order">
    <vt:r8>44200</vt:r8>
  </property>
  <property fmtid="{D5CDD505-2E9C-101B-9397-08002B2CF9AE}" pid="4" name="MediaServiceImageTags">
    <vt:lpwstr/>
  </property>
</Properties>
</file>